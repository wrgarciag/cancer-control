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_di\Documents\UW PhD\Cancer Modeling\cancer-markov-ccpm\R\inputs\"/>
    </mc:Choice>
  </mc:AlternateContent>
  <xr:revisionPtr revIDLastSave="0" documentId="13_ncr:1_{BD421728-8684-45D3-87EB-20B8022B209E}" xr6:coauthVersionLast="47" xr6:coauthVersionMax="47" xr10:uidLastSave="{00000000-0000-0000-0000-000000000000}"/>
  <bookViews>
    <workbookView xWindow="780" yWindow="780" windowWidth="21600" windowHeight="11295" activeTab="1" xr2:uid="{A6D5E7A5-CB9B-4AD0-B6D3-A8EBC845E913}"/>
  </bookViews>
  <sheets>
    <sheet name="ui" sheetId="9" r:id="rId1"/>
    <sheet name="RR" sheetId="12" r:id="rId2"/>
    <sheet name="stg_dist" sheetId="13" r:id="rId3"/>
    <sheet name="all_inputs" sheetId="10" r:id="rId4"/>
    <sheet name="dropdown" sheetId="3" r:id="rId5"/>
    <sheet name="begin" sheetId="4" r:id="rId6"/>
    <sheet name="end" sheetId="5" r:id="rId7"/>
  </sheets>
  <externalReferences>
    <externalReference r:id="rId8"/>
  </externalReferences>
  <definedNames>
    <definedName name="_xlnm._FilterDatabase" localSheetId="3" hidden="1">all_inputs!$A$1:$AA$577</definedName>
    <definedName name="_xlnm._FilterDatabase" localSheetId="5" hidden="1">begin!$A$1:$M$65</definedName>
    <definedName name="_xlnm._FilterDatabase" localSheetId="6" hidden="1">end!$A$1:$M$65</definedName>
    <definedName name="period_selected">'[1]Project Planner'!$H$3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9" l="1"/>
  <c r="F9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10" i="9"/>
  <c r="F11" i="9"/>
  <c r="F17" i="13"/>
  <c r="F16" i="13"/>
  <c r="F15" i="13"/>
  <c r="F14" i="13"/>
  <c r="E13" i="13"/>
  <c r="F13" i="13" s="1"/>
  <c r="F12" i="13"/>
  <c r="F11" i="13"/>
  <c r="F10" i="13"/>
  <c r="F9" i="13"/>
  <c r="F8" i="13"/>
  <c r="F7" i="13"/>
  <c r="F6" i="13"/>
  <c r="E5" i="13"/>
  <c r="D5" i="13"/>
  <c r="C5" i="13"/>
  <c r="F5" i="13" s="1"/>
  <c r="E4" i="13"/>
  <c r="D4" i="13"/>
  <c r="C4" i="13"/>
  <c r="F3" i="13"/>
  <c r="F2" i="13"/>
  <c r="M46" i="5"/>
  <c r="M47" i="5"/>
  <c r="M48" i="5"/>
  <c r="M49" i="5"/>
  <c r="F447" i="10"/>
  <c r="F445" i="10"/>
  <c r="F441" i="10"/>
  <c r="F439" i="10"/>
  <c r="F435" i="10"/>
  <c r="F433" i="10"/>
  <c r="F429" i="10"/>
  <c r="F423" i="10"/>
  <c r="F427" i="10"/>
  <c r="F421" i="10"/>
  <c r="F417" i="10"/>
  <c r="F411" i="10"/>
  <c r="F415" i="10"/>
  <c r="F409" i="10"/>
  <c r="F408" i="10"/>
  <c r="F407" i="10"/>
  <c r="F406" i="10"/>
  <c r="F404" i="10"/>
  <c r="F403" i="10"/>
  <c r="F402" i="10"/>
  <c r="F401" i="10"/>
  <c r="F400" i="10"/>
  <c r="F398" i="10"/>
  <c r="F397" i="10"/>
  <c r="F396" i="10"/>
  <c r="F395" i="10"/>
  <c r="F391" i="10"/>
  <c r="F481" i="10"/>
  <c r="F477" i="10"/>
  <c r="F475" i="10"/>
  <c r="F474" i="10"/>
  <c r="F473" i="10"/>
  <c r="F471" i="10"/>
  <c r="F469" i="10"/>
  <c r="F465" i="10"/>
  <c r="F463" i="10"/>
  <c r="F459" i="10"/>
  <c r="F457" i="10"/>
  <c r="F456" i="10"/>
  <c r="F455" i="10"/>
  <c r="F453" i="10"/>
  <c r="F451" i="10"/>
  <c r="G386" i="10"/>
  <c r="H386" i="10"/>
  <c r="J386" i="10"/>
  <c r="G387" i="10"/>
  <c r="H387" i="10"/>
  <c r="J387" i="10"/>
  <c r="G388" i="10"/>
  <c r="H388" i="10"/>
  <c r="J388" i="10"/>
  <c r="G389" i="10"/>
  <c r="H389" i="10"/>
  <c r="J389" i="10"/>
  <c r="G390" i="10"/>
  <c r="H390" i="10"/>
  <c r="J390" i="10"/>
  <c r="O390" i="10" l="1" a="1"/>
  <c r="O390" i="10" s="1"/>
  <c r="P390" i="10" a="1"/>
  <c r="P390" i="10" s="1"/>
  <c r="L390" i="10" a="1"/>
  <c r="L390" i="10" s="1"/>
  <c r="K390" i="10" a="1"/>
  <c r="K390" i="10" s="1"/>
  <c r="K387" i="10" a="1"/>
  <c r="K387" i="10" s="1"/>
  <c r="O387" i="10" a="1"/>
  <c r="O387" i="10" s="1"/>
  <c r="P387" i="10" a="1"/>
  <c r="P387" i="10" s="1"/>
  <c r="L387" i="10" a="1"/>
  <c r="L387" i="10" s="1"/>
  <c r="K388" i="10" a="1"/>
  <c r="K388" i="10" s="1"/>
  <c r="O388" i="10" a="1"/>
  <c r="O388" i="10" s="1"/>
  <c r="P388" i="10" a="1"/>
  <c r="P388" i="10" s="1"/>
  <c r="L388" i="10" a="1"/>
  <c r="L388" i="10" s="1"/>
  <c r="L389" i="10" a="1"/>
  <c r="L389" i="10" s="1"/>
  <c r="K389" i="10" a="1"/>
  <c r="K389" i="10" s="1"/>
  <c r="O389" i="10" a="1"/>
  <c r="O389" i="10" s="1"/>
  <c r="P389" i="10" a="1"/>
  <c r="P389" i="10" s="1"/>
  <c r="O386" i="10" a="1"/>
  <c r="O386" i="10" s="1"/>
  <c r="P386" i="10" a="1"/>
  <c r="P386" i="10" s="1"/>
  <c r="L386" i="10" a="1"/>
  <c r="L386" i="10" s="1"/>
  <c r="K386" i="10" a="1"/>
  <c r="K386" i="10" s="1"/>
  <c r="F4" i="13"/>
  <c r="I2" i="10"/>
  <c r="J2" i="10"/>
  <c r="J3" i="10"/>
  <c r="J4" i="10"/>
  <c r="J5" i="10"/>
  <c r="B3" i="9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V386" i="10" a="1"/>
  <c r="V386" i="10" s="1"/>
  <c r="U388" i="10" a="1"/>
  <c r="U388" i="10" s="1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00" i="10"/>
  <c r="AA483" i="10"/>
  <c r="AA484" i="10"/>
  <c r="AA485" i="10"/>
  <c r="AA486" i="10"/>
  <c r="AA487" i="10"/>
  <c r="AA488" i="10"/>
  <c r="AA489" i="10"/>
  <c r="AA490" i="10"/>
  <c r="AA491" i="10"/>
  <c r="AA492" i="10"/>
  <c r="AA493" i="10"/>
  <c r="AA494" i="10"/>
  <c r="AA495" i="10"/>
  <c r="AA496" i="10"/>
  <c r="AA497" i="10"/>
  <c r="AA498" i="10"/>
  <c r="AA499" i="10"/>
  <c r="AA500" i="10"/>
  <c r="AA501" i="10"/>
  <c r="AA502" i="10"/>
  <c r="AA503" i="10"/>
  <c r="AA504" i="10"/>
  <c r="AA505" i="10"/>
  <c r="AA506" i="10"/>
  <c r="AA507" i="10"/>
  <c r="AA508" i="10"/>
  <c r="AA509" i="10"/>
  <c r="AA510" i="10"/>
  <c r="AA511" i="10"/>
  <c r="AA512" i="10"/>
  <c r="AA513" i="10"/>
  <c r="AA514" i="10"/>
  <c r="AA515" i="10"/>
  <c r="AA516" i="10"/>
  <c r="AA517" i="10"/>
  <c r="AA518" i="10"/>
  <c r="AA519" i="10"/>
  <c r="AA520" i="10"/>
  <c r="AA521" i="10"/>
  <c r="AA522" i="10"/>
  <c r="AA523" i="10"/>
  <c r="AA524" i="10"/>
  <c r="AA525" i="10"/>
  <c r="AA526" i="10"/>
  <c r="AA527" i="10"/>
  <c r="AA528" i="10"/>
  <c r="AA529" i="10"/>
  <c r="AA530" i="10"/>
  <c r="AA531" i="10"/>
  <c r="AA532" i="10"/>
  <c r="AA533" i="10"/>
  <c r="AA534" i="10"/>
  <c r="AA535" i="10"/>
  <c r="AA536" i="10"/>
  <c r="AA537" i="10"/>
  <c r="AA538" i="10"/>
  <c r="AA539" i="10"/>
  <c r="AA540" i="10"/>
  <c r="AA541" i="10"/>
  <c r="AA542" i="10"/>
  <c r="AA543" i="10"/>
  <c r="AA544" i="10"/>
  <c r="AA545" i="10"/>
  <c r="AA546" i="10"/>
  <c r="AA547" i="10"/>
  <c r="AA548" i="10"/>
  <c r="AA549" i="10"/>
  <c r="AA550" i="10"/>
  <c r="AA551" i="10"/>
  <c r="AA552" i="10"/>
  <c r="AA553" i="10"/>
  <c r="AA554" i="10"/>
  <c r="AA555" i="10"/>
  <c r="AA556" i="10"/>
  <c r="AA557" i="10"/>
  <c r="AA558" i="10"/>
  <c r="AA559" i="10"/>
  <c r="AA560" i="10"/>
  <c r="AA561" i="10"/>
  <c r="AA562" i="10"/>
  <c r="AA563" i="10"/>
  <c r="AA564" i="10"/>
  <c r="AA565" i="10"/>
  <c r="AA566" i="10"/>
  <c r="AA567" i="10"/>
  <c r="AA568" i="10"/>
  <c r="AA569" i="10"/>
  <c r="AA570" i="10"/>
  <c r="AA571" i="10"/>
  <c r="AA572" i="10"/>
  <c r="AA573" i="10"/>
  <c r="AA574" i="10"/>
  <c r="AA575" i="10"/>
  <c r="AA576" i="10"/>
  <c r="AA577" i="10"/>
  <c r="AA482" i="10"/>
  <c r="AA387" i="10"/>
  <c r="AA388" i="10"/>
  <c r="AA389" i="10"/>
  <c r="AA390" i="10"/>
  <c r="AA391" i="10"/>
  <c r="AA392" i="10"/>
  <c r="AA393" i="10"/>
  <c r="AA394" i="10"/>
  <c r="AA395" i="10"/>
  <c r="AA396" i="10"/>
  <c r="AA397" i="10"/>
  <c r="AA398" i="10"/>
  <c r="AA399" i="10"/>
  <c r="AA400" i="10"/>
  <c r="AA401" i="10"/>
  <c r="AA402" i="10"/>
  <c r="AA403" i="10"/>
  <c r="AA404" i="10"/>
  <c r="AA405" i="10"/>
  <c r="AA406" i="10"/>
  <c r="AA407" i="10"/>
  <c r="AA408" i="10"/>
  <c r="AA409" i="10"/>
  <c r="AA410" i="10"/>
  <c r="AA411" i="10"/>
  <c r="AA412" i="10"/>
  <c r="AA413" i="10"/>
  <c r="AA414" i="10"/>
  <c r="AA415" i="10"/>
  <c r="AA416" i="10"/>
  <c r="AA417" i="10"/>
  <c r="AA418" i="10"/>
  <c r="AA419" i="10"/>
  <c r="AA420" i="10"/>
  <c r="AA421" i="10"/>
  <c r="AA422" i="10"/>
  <c r="AA423" i="10"/>
  <c r="AA424" i="10"/>
  <c r="AA425" i="10"/>
  <c r="AA426" i="10"/>
  <c r="AA427" i="10"/>
  <c r="AA428" i="10"/>
  <c r="AA429" i="10"/>
  <c r="AA430" i="10"/>
  <c r="AA431" i="10"/>
  <c r="AA432" i="10"/>
  <c r="AA433" i="10"/>
  <c r="AA434" i="10"/>
  <c r="AA435" i="10"/>
  <c r="AA436" i="10"/>
  <c r="AA437" i="10"/>
  <c r="AA438" i="10"/>
  <c r="AA439" i="10"/>
  <c r="AA440" i="10"/>
  <c r="AA441" i="10"/>
  <c r="AA442" i="10"/>
  <c r="AA443" i="10"/>
  <c r="AA444" i="10"/>
  <c r="AA445" i="10"/>
  <c r="AA446" i="10"/>
  <c r="AA447" i="10"/>
  <c r="AA448" i="10"/>
  <c r="AA449" i="10"/>
  <c r="AA450" i="10"/>
  <c r="AA451" i="10"/>
  <c r="AA452" i="10"/>
  <c r="AA453" i="10"/>
  <c r="AA454" i="10"/>
  <c r="AA455" i="10"/>
  <c r="AA456" i="10"/>
  <c r="AA457" i="10"/>
  <c r="AA458" i="10"/>
  <c r="AA459" i="10"/>
  <c r="AA460" i="10"/>
  <c r="AA461" i="10"/>
  <c r="AA462" i="10"/>
  <c r="AA463" i="10"/>
  <c r="AA464" i="10"/>
  <c r="AA465" i="10"/>
  <c r="AA466" i="10"/>
  <c r="AA467" i="10"/>
  <c r="AA468" i="10"/>
  <c r="AA469" i="10"/>
  <c r="AA470" i="10"/>
  <c r="AA471" i="10"/>
  <c r="AA472" i="10"/>
  <c r="AA473" i="10"/>
  <c r="AA474" i="10"/>
  <c r="AA475" i="10"/>
  <c r="AA476" i="10"/>
  <c r="AA477" i="10"/>
  <c r="AA478" i="10"/>
  <c r="AA479" i="10"/>
  <c r="AA480" i="10"/>
  <c r="AA481" i="10"/>
  <c r="AA386" i="10"/>
  <c r="AA3" i="10"/>
  <c r="AA4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05" i="10"/>
  <c r="AA106" i="10"/>
  <c r="AA107" i="10"/>
  <c r="AA108" i="10"/>
  <c r="AA109" i="10"/>
  <c r="AA110" i="10"/>
  <c r="AA111" i="10"/>
  <c r="AA112" i="10"/>
  <c r="AA113" i="10"/>
  <c r="AA114" i="10"/>
  <c r="AA115" i="10"/>
  <c r="AA116" i="10"/>
  <c r="AA117" i="10"/>
  <c r="AA118" i="10"/>
  <c r="AA119" i="10"/>
  <c r="AA120" i="10"/>
  <c r="AA121" i="10"/>
  <c r="AA122" i="10"/>
  <c r="AA123" i="10"/>
  <c r="AA124" i="10"/>
  <c r="AA125" i="10"/>
  <c r="AA126" i="10"/>
  <c r="AA127" i="10"/>
  <c r="AA128" i="10"/>
  <c r="AA129" i="10"/>
  <c r="AA130" i="10"/>
  <c r="AA131" i="10"/>
  <c r="AA132" i="10"/>
  <c r="AA133" i="10"/>
  <c r="AA134" i="10"/>
  <c r="AA135" i="10"/>
  <c r="AA136" i="10"/>
  <c r="AA137" i="10"/>
  <c r="AA138" i="10"/>
  <c r="AA139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169" i="10"/>
  <c r="AA170" i="10"/>
  <c r="AA171" i="10"/>
  <c r="AA172" i="10"/>
  <c r="AA173" i="10"/>
  <c r="AA174" i="10"/>
  <c r="AA175" i="10"/>
  <c r="AA176" i="10"/>
  <c r="AA177" i="10"/>
  <c r="AA178" i="10"/>
  <c r="AA179" i="10"/>
  <c r="AA180" i="10"/>
  <c r="AA181" i="10"/>
  <c r="AA182" i="10"/>
  <c r="AA183" i="10"/>
  <c r="AA184" i="10"/>
  <c r="AA185" i="10"/>
  <c r="AA186" i="10"/>
  <c r="AA187" i="10"/>
  <c r="AA188" i="10"/>
  <c r="AA189" i="10"/>
  <c r="AA190" i="10"/>
  <c r="AA191" i="10"/>
  <c r="AA192" i="10"/>
  <c r="AA193" i="10"/>
  <c r="AA194" i="10"/>
  <c r="AA195" i="10"/>
  <c r="AA196" i="10"/>
  <c r="AA197" i="10"/>
  <c r="AA198" i="10"/>
  <c r="AA199" i="10"/>
  <c r="AA200" i="10"/>
  <c r="AA201" i="10"/>
  <c r="AA202" i="10"/>
  <c r="AA203" i="10"/>
  <c r="AA204" i="10"/>
  <c r="AA205" i="10"/>
  <c r="AA206" i="10"/>
  <c r="AA207" i="10"/>
  <c r="AA208" i="10"/>
  <c r="AA209" i="10"/>
  <c r="AA210" i="10"/>
  <c r="AA211" i="10"/>
  <c r="AA212" i="10"/>
  <c r="AA213" i="10"/>
  <c r="AA214" i="10"/>
  <c r="AA215" i="10"/>
  <c r="AA216" i="10"/>
  <c r="AA217" i="10"/>
  <c r="AA218" i="10"/>
  <c r="AA219" i="10"/>
  <c r="AA220" i="10"/>
  <c r="AA221" i="10"/>
  <c r="AA222" i="10"/>
  <c r="AA223" i="10"/>
  <c r="AA224" i="10"/>
  <c r="AA225" i="10"/>
  <c r="AA226" i="10"/>
  <c r="AA227" i="10"/>
  <c r="AA228" i="10"/>
  <c r="AA229" i="10"/>
  <c r="AA230" i="10"/>
  <c r="AA231" i="10"/>
  <c r="AA232" i="10"/>
  <c r="AA233" i="10"/>
  <c r="AA234" i="10"/>
  <c r="AA235" i="10"/>
  <c r="AA236" i="10"/>
  <c r="AA237" i="10"/>
  <c r="AA238" i="10"/>
  <c r="AA239" i="10"/>
  <c r="AA240" i="10"/>
  <c r="AA241" i="10"/>
  <c r="AA242" i="10"/>
  <c r="AA243" i="10"/>
  <c r="AA244" i="10"/>
  <c r="AA245" i="10"/>
  <c r="AA246" i="10"/>
  <c r="AA247" i="10"/>
  <c r="AA248" i="10"/>
  <c r="AA249" i="10"/>
  <c r="AA250" i="10"/>
  <c r="AA251" i="10"/>
  <c r="AA252" i="10"/>
  <c r="AA253" i="10"/>
  <c r="AA254" i="10"/>
  <c r="AA255" i="10"/>
  <c r="AA256" i="10"/>
  <c r="AA257" i="10"/>
  <c r="AA258" i="10"/>
  <c r="AA259" i="10"/>
  <c r="AA260" i="10"/>
  <c r="AA261" i="10"/>
  <c r="AA262" i="10"/>
  <c r="AA263" i="10"/>
  <c r="AA264" i="10"/>
  <c r="AA265" i="10"/>
  <c r="AA266" i="10"/>
  <c r="AA267" i="10"/>
  <c r="AA268" i="10"/>
  <c r="AA269" i="10"/>
  <c r="AA270" i="10"/>
  <c r="AA271" i="10"/>
  <c r="AA272" i="10"/>
  <c r="AA273" i="10"/>
  <c r="AA274" i="10"/>
  <c r="AA275" i="10"/>
  <c r="AA276" i="10"/>
  <c r="AA277" i="10"/>
  <c r="AA278" i="10"/>
  <c r="AA279" i="10"/>
  <c r="AA280" i="10"/>
  <c r="AA281" i="10"/>
  <c r="AA282" i="10"/>
  <c r="AA283" i="10"/>
  <c r="AA284" i="10"/>
  <c r="AA285" i="10"/>
  <c r="AA286" i="10"/>
  <c r="AA287" i="10"/>
  <c r="AA288" i="10"/>
  <c r="AA289" i="10"/>
  <c r="AA290" i="10"/>
  <c r="AA291" i="10"/>
  <c r="AA292" i="10"/>
  <c r="AA293" i="10"/>
  <c r="AA294" i="10"/>
  <c r="AA295" i="10"/>
  <c r="AA296" i="10"/>
  <c r="AA297" i="10"/>
  <c r="AA298" i="10"/>
  <c r="AA299" i="10"/>
  <c r="AA300" i="10"/>
  <c r="AA301" i="10"/>
  <c r="AA302" i="10"/>
  <c r="AA303" i="10"/>
  <c r="AA304" i="10"/>
  <c r="AA305" i="10"/>
  <c r="AA306" i="10"/>
  <c r="AA307" i="10"/>
  <c r="AA308" i="10"/>
  <c r="AA309" i="10"/>
  <c r="AA310" i="10"/>
  <c r="AA311" i="10"/>
  <c r="AA312" i="10"/>
  <c r="AA313" i="10"/>
  <c r="AA314" i="10"/>
  <c r="AA315" i="10"/>
  <c r="AA316" i="10"/>
  <c r="AA317" i="10"/>
  <c r="AA318" i="10"/>
  <c r="AA319" i="10"/>
  <c r="AA320" i="10"/>
  <c r="AA321" i="10"/>
  <c r="AA322" i="10"/>
  <c r="AA323" i="10"/>
  <c r="AA324" i="10"/>
  <c r="AA325" i="10"/>
  <c r="AA326" i="10"/>
  <c r="AA327" i="10"/>
  <c r="AA328" i="10"/>
  <c r="AA329" i="10"/>
  <c r="AA330" i="10"/>
  <c r="AA331" i="10"/>
  <c r="AA332" i="10"/>
  <c r="AA333" i="10"/>
  <c r="AA334" i="10"/>
  <c r="AA335" i="10"/>
  <c r="AA336" i="10"/>
  <c r="AA337" i="10"/>
  <c r="AA338" i="10"/>
  <c r="AA339" i="10"/>
  <c r="AA340" i="10"/>
  <c r="AA341" i="10"/>
  <c r="AA342" i="10"/>
  <c r="AA343" i="10"/>
  <c r="AA344" i="10"/>
  <c r="AA345" i="10"/>
  <c r="AA346" i="10"/>
  <c r="AA347" i="10"/>
  <c r="AA348" i="10"/>
  <c r="AA349" i="10"/>
  <c r="AA350" i="10"/>
  <c r="AA351" i="10"/>
  <c r="AA352" i="10"/>
  <c r="AA353" i="10"/>
  <c r="AA354" i="10"/>
  <c r="AA355" i="10"/>
  <c r="AA356" i="10"/>
  <c r="AA357" i="10"/>
  <c r="AA358" i="10"/>
  <c r="AA359" i="10"/>
  <c r="AA360" i="10"/>
  <c r="AA361" i="10"/>
  <c r="AA362" i="10"/>
  <c r="AA363" i="10"/>
  <c r="AA364" i="10"/>
  <c r="AA365" i="10"/>
  <c r="AA366" i="10"/>
  <c r="AA367" i="10"/>
  <c r="AA368" i="10"/>
  <c r="AA369" i="10"/>
  <c r="AA370" i="10"/>
  <c r="AA371" i="10"/>
  <c r="AA372" i="10"/>
  <c r="AA373" i="10"/>
  <c r="AA374" i="10"/>
  <c r="AA375" i="10"/>
  <c r="AA376" i="10"/>
  <c r="AA377" i="10"/>
  <c r="AA378" i="10"/>
  <c r="AA379" i="10"/>
  <c r="AA380" i="10"/>
  <c r="AA381" i="10"/>
  <c r="AA382" i="10"/>
  <c r="AA383" i="10"/>
  <c r="AA384" i="10"/>
  <c r="AA385" i="10"/>
  <c r="AA2" i="10"/>
  <c r="G3" i="10"/>
  <c r="H3" i="10"/>
  <c r="G4" i="10"/>
  <c r="H4" i="10"/>
  <c r="G5" i="10"/>
  <c r="H5" i="10"/>
  <c r="G6" i="10"/>
  <c r="H6" i="10"/>
  <c r="G7" i="10"/>
  <c r="H7" i="10"/>
  <c r="G8" i="10"/>
  <c r="H8" i="10"/>
  <c r="G9" i="10"/>
  <c r="H9" i="10"/>
  <c r="G10" i="10"/>
  <c r="H10" i="10"/>
  <c r="G11" i="10"/>
  <c r="H11" i="10"/>
  <c r="G12" i="10"/>
  <c r="H12" i="10"/>
  <c r="G13" i="10"/>
  <c r="H13" i="10"/>
  <c r="G14" i="10"/>
  <c r="H14" i="10"/>
  <c r="G15" i="10"/>
  <c r="H15" i="10"/>
  <c r="G16" i="10"/>
  <c r="H16" i="10"/>
  <c r="G17" i="10"/>
  <c r="H17" i="10"/>
  <c r="G18" i="10"/>
  <c r="H18" i="10"/>
  <c r="G19" i="10"/>
  <c r="H19" i="10"/>
  <c r="G20" i="10"/>
  <c r="H20" i="10"/>
  <c r="G21" i="10"/>
  <c r="H21" i="10"/>
  <c r="G22" i="10"/>
  <c r="H22" i="10"/>
  <c r="G23" i="10"/>
  <c r="H23" i="10"/>
  <c r="G24" i="10"/>
  <c r="H24" i="10"/>
  <c r="G25" i="10"/>
  <c r="H25" i="10"/>
  <c r="G26" i="10"/>
  <c r="H26" i="10"/>
  <c r="G27" i="10"/>
  <c r="H27" i="10"/>
  <c r="G28" i="10"/>
  <c r="H28" i="10"/>
  <c r="G29" i="10"/>
  <c r="H29" i="10"/>
  <c r="G30" i="10"/>
  <c r="H30" i="10"/>
  <c r="G31" i="10"/>
  <c r="H31" i="10"/>
  <c r="G32" i="10"/>
  <c r="H32" i="10"/>
  <c r="G33" i="10"/>
  <c r="H33" i="10"/>
  <c r="G34" i="10"/>
  <c r="H34" i="10"/>
  <c r="G35" i="10"/>
  <c r="H35" i="10"/>
  <c r="G36" i="10"/>
  <c r="H36" i="10"/>
  <c r="G37" i="10"/>
  <c r="H37" i="10"/>
  <c r="G38" i="10"/>
  <c r="H38" i="10"/>
  <c r="G39" i="10"/>
  <c r="H39" i="10"/>
  <c r="G40" i="10"/>
  <c r="H40" i="10"/>
  <c r="G41" i="10"/>
  <c r="H41" i="10"/>
  <c r="G42" i="10"/>
  <c r="H42" i="10"/>
  <c r="G43" i="10"/>
  <c r="H43" i="10"/>
  <c r="G44" i="10"/>
  <c r="H44" i="10"/>
  <c r="G45" i="10"/>
  <c r="H45" i="10"/>
  <c r="G46" i="10"/>
  <c r="H46" i="10"/>
  <c r="G47" i="10"/>
  <c r="H47" i="10"/>
  <c r="G48" i="10"/>
  <c r="H48" i="10"/>
  <c r="G49" i="10"/>
  <c r="H49" i="10"/>
  <c r="G50" i="10"/>
  <c r="H50" i="10"/>
  <c r="G51" i="10"/>
  <c r="H51" i="10"/>
  <c r="G52" i="10"/>
  <c r="H52" i="10"/>
  <c r="G53" i="10"/>
  <c r="H53" i="10"/>
  <c r="G54" i="10"/>
  <c r="H54" i="10"/>
  <c r="G55" i="10"/>
  <c r="H55" i="10"/>
  <c r="G56" i="10"/>
  <c r="H56" i="10"/>
  <c r="G57" i="10"/>
  <c r="H57" i="10"/>
  <c r="G58" i="10"/>
  <c r="H58" i="10"/>
  <c r="G59" i="10"/>
  <c r="H59" i="10"/>
  <c r="G60" i="10"/>
  <c r="H60" i="10"/>
  <c r="G61" i="10"/>
  <c r="H61" i="10"/>
  <c r="G62" i="10"/>
  <c r="H62" i="10"/>
  <c r="G63" i="10"/>
  <c r="H63" i="10"/>
  <c r="G64" i="10"/>
  <c r="H64" i="10"/>
  <c r="G65" i="10"/>
  <c r="H65" i="10"/>
  <c r="G66" i="10"/>
  <c r="H66" i="10"/>
  <c r="G67" i="10"/>
  <c r="H67" i="10"/>
  <c r="G68" i="10"/>
  <c r="H68" i="10"/>
  <c r="G69" i="10"/>
  <c r="H69" i="10"/>
  <c r="G70" i="10"/>
  <c r="H70" i="10"/>
  <c r="G71" i="10"/>
  <c r="H71" i="10"/>
  <c r="G72" i="10"/>
  <c r="H72" i="10"/>
  <c r="G73" i="10"/>
  <c r="H73" i="10"/>
  <c r="G74" i="10"/>
  <c r="H74" i="10"/>
  <c r="G75" i="10"/>
  <c r="H75" i="10"/>
  <c r="G76" i="10"/>
  <c r="H76" i="10"/>
  <c r="G77" i="10"/>
  <c r="H77" i="10"/>
  <c r="G78" i="10"/>
  <c r="H78" i="10"/>
  <c r="G79" i="10"/>
  <c r="H79" i="10"/>
  <c r="G80" i="10"/>
  <c r="H80" i="10"/>
  <c r="G81" i="10"/>
  <c r="H81" i="10"/>
  <c r="G82" i="10"/>
  <c r="H82" i="10"/>
  <c r="G83" i="10"/>
  <c r="H83" i="10"/>
  <c r="G84" i="10"/>
  <c r="H84" i="10"/>
  <c r="G85" i="10"/>
  <c r="H85" i="10"/>
  <c r="G86" i="10"/>
  <c r="H86" i="10"/>
  <c r="G87" i="10"/>
  <c r="H87" i="10"/>
  <c r="G88" i="10"/>
  <c r="H88" i="10"/>
  <c r="G89" i="10"/>
  <c r="H89" i="10"/>
  <c r="G90" i="10"/>
  <c r="H90" i="10"/>
  <c r="G91" i="10"/>
  <c r="H91" i="10"/>
  <c r="G92" i="10"/>
  <c r="H92" i="10"/>
  <c r="G93" i="10"/>
  <c r="H93" i="10"/>
  <c r="G94" i="10"/>
  <c r="H94" i="10"/>
  <c r="G95" i="10"/>
  <c r="H95" i="10"/>
  <c r="G96" i="10"/>
  <c r="H96" i="10"/>
  <c r="G97" i="10"/>
  <c r="H97" i="10"/>
  <c r="G98" i="10"/>
  <c r="H98" i="10"/>
  <c r="G99" i="10"/>
  <c r="H99" i="10"/>
  <c r="G100" i="10"/>
  <c r="H100" i="10"/>
  <c r="G101" i="10"/>
  <c r="H101" i="10"/>
  <c r="G102" i="10"/>
  <c r="H102" i="10"/>
  <c r="G103" i="10"/>
  <c r="H103" i="10"/>
  <c r="G104" i="10"/>
  <c r="H104" i="10"/>
  <c r="G105" i="10"/>
  <c r="H105" i="10"/>
  <c r="G106" i="10"/>
  <c r="H106" i="10"/>
  <c r="G107" i="10"/>
  <c r="H107" i="10"/>
  <c r="G108" i="10"/>
  <c r="H108" i="10"/>
  <c r="G109" i="10"/>
  <c r="H109" i="10"/>
  <c r="G110" i="10"/>
  <c r="H110" i="10"/>
  <c r="G111" i="10"/>
  <c r="H111" i="10"/>
  <c r="G112" i="10"/>
  <c r="H112" i="10"/>
  <c r="G113" i="10"/>
  <c r="H113" i="10"/>
  <c r="G114" i="10"/>
  <c r="H114" i="10"/>
  <c r="G115" i="10"/>
  <c r="H115" i="10"/>
  <c r="G116" i="10"/>
  <c r="H116" i="10"/>
  <c r="G117" i="10"/>
  <c r="H117" i="10"/>
  <c r="G118" i="10"/>
  <c r="H118" i="10"/>
  <c r="G119" i="10"/>
  <c r="H119" i="10"/>
  <c r="G120" i="10"/>
  <c r="H120" i="10"/>
  <c r="G121" i="10"/>
  <c r="H121" i="10"/>
  <c r="G122" i="10"/>
  <c r="H122" i="10"/>
  <c r="G123" i="10"/>
  <c r="H123" i="10"/>
  <c r="G124" i="10"/>
  <c r="H124" i="10"/>
  <c r="G125" i="10"/>
  <c r="H125" i="10"/>
  <c r="G126" i="10"/>
  <c r="H126" i="10"/>
  <c r="G127" i="10"/>
  <c r="H127" i="10"/>
  <c r="G128" i="10"/>
  <c r="H128" i="10"/>
  <c r="G129" i="10"/>
  <c r="H129" i="10"/>
  <c r="G130" i="10"/>
  <c r="H130" i="10"/>
  <c r="G131" i="10"/>
  <c r="H131" i="10"/>
  <c r="G132" i="10"/>
  <c r="H132" i="10"/>
  <c r="G133" i="10"/>
  <c r="H133" i="10"/>
  <c r="G134" i="10"/>
  <c r="H134" i="10"/>
  <c r="G135" i="10"/>
  <c r="H135" i="10"/>
  <c r="G136" i="10"/>
  <c r="H136" i="10"/>
  <c r="G137" i="10"/>
  <c r="H137" i="10"/>
  <c r="G138" i="10"/>
  <c r="H138" i="10"/>
  <c r="G139" i="10"/>
  <c r="H139" i="10"/>
  <c r="G140" i="10"/>
  <c r="H140" i="10"/>
  <c r="G141" i="10"/>
  <c r="H141" i="10"/>
  <c r="G142" i="10"/>
  <c r="H142" i="10"/>
  <c r="G143" i="10"/>
  <c r="H143" i="10"/>
  <c r="G144" i="10"/>
  <c r="H144" i="10"/>
  <c r="G145" i="10"/>
  <c r="H145" i="10"/>
  <c r="G146" i="10"/>
  <c r="H146" i="10"/>
  <c r="G147" i="10"/>
  <c r="H147" i="10"/>
  <c r="G148" i="10"/>
  <c r="H148" i="10"/>
  <c r="G149" i="10"/>
  <c r="H149" i="10"/>
  <c r="G150" i="10"/>
  <c r="H150" i="10"/>
  <c r="G151" i="10"/>
  <c r="H151" i="10"/>
  <c r="G152" i="10"/>
  <c r="H152" i="10"/>
  <c r="G153" i="10"/>
  <c r="H153" i="10"/>
  <c r="G154" i="10"/>
  <c r="H154" i="10"/>
  <c r="G155" i="10"/>
  <c r="H155" i="10"/>
  <c r="G156" i="10"/>
  <c r="H156" i="10"/>
  <c r="G157" i="10"/>
  <c r="H157" i="10"/>
  <c r="G158" i="10"/>
  <c r="H158" i="10"/>
  <c r="G159" i="10"/>
  <c r="H159" i="10"/>
  <c r="G160" i="10"/>
  <c r="H160" i="10"/>
  <c r="G161" i="10"/>
  <c r="H161" i="10"/>
  <c r="G162" i="10"/>
  <c r="H162" i="10"/>
  <c r="G163" i="10"/>
  <c r="H163" i="10"/>
  <c r="G164" i="10"/>
  <c r="H164" i="10"/>
  <c r="G165" i="10"/>
  <c r="H165" i="10"/>
  <c r="G166" i="10"/>
  <c r="H166" i="10"/>
  <c r="G167" i="10"/>
  <c r="H167" i="10"/>
  <c r="G168" i="10"/>
  <c r="H168" i="10"/>
  <c r="G169" i="10"/>
  <c r="H169" i="10"/>
  <c r="G170" i="10"/>
  <c r="H170" i="10"/>
  <c r="G171" i="10"/>
  <c r="H171" i="10"/>
  <c r="G172" i="10"/>
  <c r="H172" i="10"/>
  <c r="G173" i="10"/>
  <c r="H173" i="10"/>
  <c r="G174" i="10"/>
  <c r="H174" i="10"/>
  <c r="G175" i="10"/>
  <c r="H175" i="10"/>
  <c r="G176" i="10"/>
  <c r="H176" i="10"/>
  <c r="G177" i="10"/>
  <c r="H177" i="10"/>
  <c r="G178" i="10"/>
  <c r="H178" i="10"/>
  <c r="G179" i="10"/>
  <c r="H179" i="10"/>
  <c r="G180" i="10"/>
  <c r="H180" i="10"/>
  <c r="G181" i="10"/>
  <c r="H181" i="10"/>
  <c r="G182" i="10"/>
  <c r="H182" i="10"/>
  <c r="G183" i="10"/>
  <c r="H183" i="10"/>
  <c r="G184" i="10"/>
  <c r="H184" i="10"/>
  <c r="G185" i="10"/>
  <c r="H185" i="10"/>
  <c r="G186" i="10"/>
  <c r="H186" i="10"/>
  <c r="G187" i="10"/>
  <c r="H187" i="10"/>
  <c r="G188" i="10"/>
  <c r="H188" i="10"/>
  <c r="G189" i="10"/>
  <c r="H189" i="10"/>
  <c r="G190" i="10"/>
  <c r="H190" i="10"/>
  <c r="G191" i="10"/>
  <c r="H191" i="10"/>
  <c r="G192" i="10"/>
  <c r="H192" i="10"/>
  <c r="G193" i="10"/>
  <c r="H193" i="10"/>
  <c r="G194" i="10"/>
  <c r="H194" i="10"/>
  <c r="G195" i="10"/>
  <c r="H195" i="10"/>
  <c r="G196" i="10"/>
  <c r="H196" i="10"/>
  <c r="G197" i="10"/>
  <c r="H197" i="10"/>
  <c r="G198" i="10"/>
  <c r="H198" i="10"/>
  <c r="G199" i="10"/>
  <c r="H199" i="10"/>
  <c r="G200" i="10"/>
  <c r="H200" i="10"/>
  <c r="G201" i="10"/>
  <c r="H201" i="10"/>
  <c r="G202" i="10"/>
  <c r="H202" i="10"/>
  <c r="G203" i="10"/>
  <c r="H203" i="10"/>
  <c r="G204" i="10"/>
  <c r="H204" i="10"/>
  <c r="G205" i="10"/>
  <c r="H205" i="10"/>
  <c r="G206" i="10"/>
  <c r="H206" i="10"/>
  <c r="G207" i="10"/>
  <c r="H207" i="10"/>
  <c r="G208" i="10"/>
  <c r="H208" i="10"/>
  <c r="G209" i="10"/>
  <c r="H209" i="10"/>
  <c r="G210" i="10"/>
  <c r="H210" i="10"/>
  <c r="G211" i="10"/>
  <c r="H211" i="10"/>
  <c r="G212" i="10"/>
  <c r="H212" i="10"/>
  <c r="G213" i="10"/>
  <c r="H213" i="10"/>
  <c r="G214" i="10"/>
  <c r="H214" i="10"/>
  <c r="G215" i="10"/>
  <c r="H215" i="10"/>
  <c r="G216" i="10"/>
  <c r="H216" i="10"/>
  <c r="G217" i="10"/>
  <c r="H217" i="10"/>
  <c r="G218" i="10"/>
  <c r="H218" i="10"/>
  <c r="G219" i="10"/>
  <c r="H219" i="10"/>
  <c r="G220" i="10"/>
  <c r="H220" i="10"/>
  <c r="G221" i="10"/>
  <c r="H221" i="10"/>
  <c r="G222" i="10"/>
  <c r="H222" i="10"/>
  <c r="G223" i="10"/>
  <c r="H223" i="10"/>
  <c r="G224" i="10"/>
  <c r="H224" i="10"/>
  <c r="G225" i="10"/>
  <c r="H225" i="10"/>
  <c r="G226" i="10"/>
  <c r="H226" i="10"/>
  <c r="G227" i="10"/>
  <c r="H227" i="10"/>
  <c r="G228" i="10"/>
  <c r="H228" i="10"/>
  <c r="G229" i="10"/>
  <c r="H229" i="10"/>
  <c r="G230" i="10"/>
  <c r="H230" i="10"/>
  <c r="G231" i="10"/>
  <c r="H231" i="10"/>
  <c r="G232" i="10"/>
  <c r="H232" i="10"/>
  <c r="G233" i="10"/>
  <c r="H233" i="10"/>
  <c r="G234" i="10"/>
  <c r="H234" i="10"/>
  <c r="G235" i="10"/>
  <c r="H235" i="10"/>
  <c r="G236" i="10"/>
  <c r="H236" i="10"/>
  <c r="G237" i="10"/>
  <c r="H237" i="10"/>
  <c r="G238" i="10"/>
  <c r="H238" i="10"/>
  <c r="G239" i="10"/>
  <c r="H239" i="10"/>
  <c r="G240" i="10"/>
  <c r="H240" i="10"/>
  <c r="G241" i="10"/>
  <c r="H241" i="10"/>
  <c r="G242" i="10"/>
  <c r="H242" i="10"/>
  <c r="G243" i="10"/>
  <c r="H243" i="10"/>
  <c r="G244" i="10"/>
  <c r="H244" i="10"/>
  <c r="G245" i="10"/>
  <c r="H245" i="10"/>
  <c r="G246" i="10"/>
  <c r="H246" i="10"/>
  <c r="G247" i="10"/>
  <c r="H247" i="10"/>
  <c r="G248" i="10"/>
  <c r="H248" i="10"/>
  <c r="G249" i="10"/>
  <c r="H249" i="10"/>
  <c r="G250" i="10"/>
  <c r="H250" i="10"/>
  <c r="G251" i="10"/>
  <c r="H251" i="10"/>
  <c r="G252" i="10"/>
  <c r="H252" i="10"/>
  <c r="G253" i="10"/>
  <c r="H253" i="10"/>
  <c r="G254" i="10"/>
  <c r="H254" i="10"/>
  <c r="G255" i="10"/>
  <c r="H255" i="10"/>
  <c r="G256" i="10"/>
  <c r="H256" i="10"/>
  <c r="G257" i="10"/>
  <c r="H257" i="10"/>
  <c r="G258" i="10"/>
  <c r="H258" i="10"/>
  <c r="G259" i="10"/>
  <c r="H259" i="10"/>
  <c r="G260" i="10"/>
  <c r="H260" i="10"/>
  <c r="G261" i="10"/>
  <c r="H261" i="10"/>
  <c r="G262" i="10"/>
  <c r="H262" i="10"/>
  <c r="G263" i="10"/>
  <c r="H263" i="10"/>
  <c r="G264" i="10"/>
  <c r="H264" i="10"/>
  <c r="G265" i="10"/>
  <c r="H265" i="10"/>
  <c r="G266" i="10"/>
  <c r="H266" i="10"/>
  <c r="G267" i="10"/>
  <c r="H267" i="10"/>
  <c r="G268" i="10"/>
  <c r="H268" i="10"/>
  <c r="G269" i="10"/>
  <c r="H269" i="10"/>
  <c r="G270" i="10"/>
  <c r="H270" i="10"/>
  <c r="G271" i="10"/>
  <c r="H271" i="10"/>
  <c r="G272" i="10"/>
  <c r="H272" i="10"/>
  <c r="G273" i="10"/>
  <c r="H273" i="10"/>
  <c r="G274" i="10"/>
  <c r="H274" i="10"/>
  <c r="G275" i="10"/>
  <c r="H275" i="10"/>
  <c r="G276" i="10"/>
  <c r="H276" i="10"/>
  <c r="G277" i="10"/>
  <c r="H277" i="10"/>
  <c r="G278" i="10"/>
  <c r="H278" i="10"/>
  <c r="G279" i="10"/>
  <c r="H279" i="10"/>
  <c r="G280" i="10"/>
  <c r="H280" i="10"/>
  <c r="G281" i="10"/>
  <c r="H281" i="10"/>
  <c r="G282" i="10"/>
  <c r="H282" i="10"/>
  <c r="G283" i="10"/>
  <c r="H283" i="10"/>
  <c r="G284" i="10"/>
  <c r="H284" i="10"/>
  <c r="G285" i="10"/>
  <c r="H285" i="10"/>
  <c r="G286" i="10"/>
  <c r="H286" i="10"/>
  <c r="G287" i="10"/>
  <c r="H287" i="10"/>
  <c r="G288" i="10"/>
  <c r="H288" i="10"/>
  <c r="G289" i="10"/>
  <c r="H289" i="10"/>
  <c r="G290" i="10"/>
  <c r="H290" i="10"/>
  <c r="G291" i="10"/>
  <c r="H291" i="10"/>
  <c r="G292" i="10"/>
  <c r="H292" i="10"/>
  <c r="G293" i="10"/>
  <c r="H293" i="10"/>
  <c r="G294" i="10"/>
  <c r="H294" i="10"/>
  <c r="G295" i="10"/>
  <c r="H295" i="10"/>
  <c r="G296" i="10"/>
  <c r="H296" i="10"/>
  <c r="G297" i="10"/>
  <c r="H297" i="10"/>
  <c r="G298" i="10"/>
  <c r="H298" i="10"/>
  <c r="G299" i="10"/>
  <c r="H299" i="10"/>
  <c r="G300" i="10"/>
  <c r="H300" i="10"/>
  <c r="G301" i="10"/>
  <c r="H301" i="10"/>
  <c r="G302" i="10"/>
  <c r="H302" i="10"/>
  <c r="G303" i="10"/>
  <c r="H303" i="10"/>
  <c r="G304" i="10"/>
  <c r="H304" i="10"/>
  <c r="G305" i="10"/>
  <c r="H305" i="10"/>
  <c r="G306" i="10"/>
  <c r="H306" i="10"/>
  <c r="G307" i="10"/>
  <c r="H307" i="10"/>
  <c r="G308" i="10"/>
  <c r="H308" i="10"/>
  <c r="G309" i="10"/>
  <c r="H309" i="10"/>
  <c r="G310" i="10"/>
  <c r="H310" i="10"/>
  <c r="G311" i="10"/>
  <c r="H311" i="10"/>
  <c r="G312" i="10"/>
  <c r="H312" i="10"/>
  <c r="G313" i="10"/>
  <c r="H313" i="10"/>
  <c r="G314" i="10"/>
  <c r="H314" i="10"/>
  <c r="G315" i="10"/>
  <c r="H315" i="10"/>
  <c r="G316" i="10"/>
  <c r="H316" i="10"/>
  <c r="G317" i="10"/>
  <c r="H317" i="10"/>
  <c r="G318" i="10"/>
  <c r="H318" i="10"/>
  <c r="G319" i="10"/>
  <c r="H319" i="10"/>
  <c r="G320" i="10"/>
  <c r="H320" i="10"/>
  <c r="G321" i="10"/>
  <c r="H321" i="10"/>
  <c r="G322" i="10"/>
  <c r="H322" i="10"/>
  <c r="G323" i="10"/>
  <c r="H323" i="10"/>
  <c r="G324" i="10"/>
  <c r="H324" i="10"/>
  <c r="G325" i="10"/>
  <c r="H325" i="10"/>
  <c r="G326" i="10"/>
  <c r="H326" i="10"/>
  <c r="G327" i="10"/>
  <c r="H327" i="10"/>
  <c r="G328" i="10"/>
  <c r="H328" i="10"/>
  <c r="G329" i="10"/>
  <c r="H329" i="10"/>
  <c r="G330" i="10"/>
  <c r="H330" i="10"/>
  <c r="G331" i="10"/>
  <c r="H331" i="10"/>
  <c r="G332" i="10"/>
  <c r="H332" i="10"/>
  <c r="G333" i="10"/>
  <c r="H333" i="10"/>
  <c r="G334" i="10"/>
  <c r="H334" i="10"/>
  <c r="G335" i="10"/>
  <c r="H335" i="10"/>
  <c r="G336" i="10"/>
  <c r="H336" i="10"/>
  <c r="G337" i="10"/>
  <c r="H337" i="10"/>
  <c r="G338" i="10"/>
  <c r="H338" i="10"/>
  <c r="G339" i="10"/>
  <c r="H339" i="10"/>
  <c r="G340" i="10"/>
  <c r="H340" i="10"/>
  <c r="G341" i="10"/>
  <c r="H341" i="10"/>
  <c r="G342" i="10"/>
  <c r="H342" i="10"/>
  <c r="G343" i="10"/>
  <c r="H343" i="10"/>
  <c r="G344" i="10"/>
  <c r="H344" i="10"/>
  <c r="G345" i="10"/>
  <c r="H345" i="10"/>
  <c r="G346" i="10"/>
  <c r="H346" i="10"/>
  <c r="G347" i="10"/>
  <c r="H347" i="10"/>
  <c r="G348" i="10"/>
  <c r="H348" i="10"/>
  <c r="G349" i="10"/>
  <c r="H349" i="10"/>
  <c r="G350" i="10"/>
  <c r="H350" i="10"/>
  <c r="G351" i="10"/>
  <c r="H351" i="10"/>
  <c r="G352" i="10"/>
  <c r="H352" i="10"/>
  <c r="G353" i="10"/>
  <c r="H353" i="10"/>
  <c r="G354" i="10"/>
  <c r="H354" i="10"/>
  <c r="G355" i="10"/>
  <c r="H355" i="10"/>
  <c r="G356" i="10"/>
  <c r="H356" i="10"/>
  <c r="G357" i="10"/>
  <c r="H357" i="10"/>
  <c r="G358" i="10"/>
  <c r="H358" i="10"/>
  <c r="G359" i="10"/>
  <c r="H359" i="10"/>
  <c r="G360" i="10"/>
  <c r="H360" i="10"/>
  <c r="G361" i="10"/>
  <c r="H361" i="10"/>
  <c r="G362" i="10"/>
  <c r="H362" i="10"/>
  <c r="G363" i="10"/>
  <c r="H363" i="10"/>
  <c r="G364" i="10"/>
  <c r="H364" i="10"/>
  <c r="G365" i="10"/>
  <c r="H365" i="10"/>
  <c r="G366" i="10"/>
  <c r="H366" i="10"/>
  <c r="G367" i="10"/>
  <c r="H367" i="10"/>
  <c r="G368" i="10"/>
  <c r="H368" i="10"/>
  <c r="G369" i="10"/>
  <c r="H369" i="10"/>
  <c r="G370" i="10"/>
  <c r="H370" i="10"/>
  <c r="G371" i="10"/>
  <c r="H371" i="10"/>
  <c r="G372" i="10"/>
  <c r="H372" i="10"/>
  <c r="G373" i="10"/>
  <c r="H373" i="10"/>
  <c r="G374" i="10"/>
  <c r="H374" i="10"/>
  <c r="G375" i="10"/>
  <c r="H375" i="10"/>
  <c r="G376" i="10"/>
  <c r="H376" i="10"/>
  <c r="G377" i="10"/>
  <c r="H377" i="10"/>
  <c r="G378" i="10"/>
  <c r="H378" i="10"/>
  <c r="G379" i="10"/>
  <c r="H379" i="10"/>
  <c r="G380" i="10"/>
  <c r="H380" i="10"/>
  <c r="G381" i="10"/>
  <c r="H381" i="10"/>
  <c r="G382" i="10"/>
  <c r="H382" i="10"/>
  <c r="G383" i="10"/>
  <c r="H383" i="10"/>
  <c r="G384" i="10"/>
  <c r="H384" i="10"/>
  <c r="G385" i="10"/>
  <c r="H385" i="10"/>
  <c r="G391" i="10"/>
  <c r="H391" i="10"/>
  <c r="G392" i="10"/>
  <c r="H392" i="10"/>
  <c r="G393" i="10"/>
  <c r="H393" i="10"/>
  <c r="G394" i="10"/>
  <c r="H394" i="10"/>
  <c r="G395" i="10"/>
  <c r="H395" i="10"/>
  <c r="G396" i="10"/>
  <c r="H396" i="10"/>
  <c r="G397" i="10"/>
  <c r="H397" i="10"/>
  <c r="G398" i="10"/>
  <c r="H398" i="10"/>
  <c r="G399" i="10"/>
  <c r="H399" i="10"/>
  <c r="G400" i="10"/>
  <c r="H400" i="10"/>
  <c r="G401" i="10"/>
  <c r="H401" i="10"/>
  <c r="G402" i="10"/>
  <c r="H402" i="10"/>
  <c r="G403" i="10"/>
  <c r="H403" i="10"/>
  <c r="G404" i="10"/>
  <c r="H404" i="10"/>
  <c r="G405" i="10"/>
  <c r="H405" i="10"/>
  <c r="G406" i="10"/>
  <c r="H406" i="10"/>
  <c r="G407" i="10"/>
  <c r="H407" i="10"/>
  <c r="G408" i="10"/>
  <c r="H408" i="10"/>
  <c r="G409" i="10"/>
  <c r="H409" i="10"/>
  <c r="G410" i="10"/>
  <c r="H410" i="10"/>
  <c r="G411" i="10"/>
  <c r="H411" i="10"/>
  <c r="G412" i="10"/>
  <c r="H412" i="10"/>
  <c r="G413" i="10"/>
  <c r="H413" i="10"/>
  <c r="G414" i="10"/>
  <c r="H414" i="10"/>
  <c r="G415" i="10"/>
  <c r="H415" i="10"/>
  <c r="G416" i="10"/>
  <c r="H416" i="10"/>
  <c r="G417" i="10"/>
  <c r="H417" i="10"/>
  <c r="G418" i="10"/>
  <c r="H418" i="10"/>
  <c r="G419" i="10"/>
  <c r="H419" i="10"/>
  <c r="G420" i="10"/>
  <c r="H420" i="10"/>
  <c r="G421" i="10"/>
  <c r="H421" i="10"/>
  <c r="G422" i="10"/>
  <c r="H422" i="10"/>
  <c r="G423" i="10"/>
  <c r="H423" i="10"/>
  <c r="G424" i="10"/>
  <c r="H424" i="10"/>
  <c r="G425" i="10"/>
  <c r="H425" i="10"/>
  <c r="G426" i="10"/>
  <c r="H426" i="10"/>
  <c r="G427" i="10"/>
  <c r="H427" i="10"/>
  <c r="G428" i="10"/>
  <c r="H428" i="10"/>
  <c r="G429" i="10"/>
  <c r="H429" i="10"/>
  <c r="G430" i="10"/>
  <c r="H430" i="10"/>
  <c r="G431" i="10"/>
  <c r="H431" i="10"/>
  <c r="G432" i="10"/>
  <c r="H432" i="10"/>
  <c r="G433" i="10"/>
  <c r="H433" i="10"/>
  <c r="G434" i="10"/>
  <c r="H434" i="10"/>
  <c r="G435" i="10"/>
  <c r="H435" i="10"/>
  <c r="G436" i="10"/>
  <c r="H436" i="10"/>
  <c r="G437" i="10"/>
  <c r="H437" i="10"/>
  <c r="G438" i="10"/>
  <c r="H438" i="10"/>
  <c r="G439" i="10"/>
  <c r="H439" i="10"/>
  <c r="G440" i="10"/>
  <c r="H440" i="10"/>
  <c r="G441" i="10"/>
  <c r="H441" i="10"/>
  <c r="G442" i="10"/>
  <c r="H442" i="10"/>
  <c r="G443" i="10"/>
  <c r="H443" i="10"/>
  <c r="G444" i="10"/>
  <c r="H444" i="10"/>
  <c r="G445" i="10"/>
  <c r="H445" i="10"/>
  <c r="G446" i="10"/>
  <c r="H446" i="10"/>
  <c r="G447" i="10"/>
  <c r="H447" i="10"/>
  <c r="G448" i="10"/>
  <c r="H448" i="10"/>
  <c r="G449" i="10"/>
  <c r="H449" i="10"/>
  <c r="G450" i="10"/>
  <c r="H450" i="10"/>
  <c r="G451" i="10"/>
  <c r="H451" i="10"/>
  <c r="G452" i="10"/>
  <c r="H452" i="10"/>
  <c r="G453" i="10"/>
  <c r="H453" i="10"/>
  <c r="G454" i="10"/>
  <c r="H454" i="10"/>
  <c r="G455" i="10"/>
  <c r="H455" i="10"/>
  <c r="G456" i="10"/>
  <c r="H456" i="10"/>
  <c r="G457" i="10"/>
  <c r="H457" i="10"/>
  <c r="G458" i="10"/>
  <c r="H458" i="10"/>
  <c r="G459" i="10"/>
  <c r="H459" i="10"/>
  <c r="G460" i="10"/>
  <c r="H460" i="10"/>
  <c r="G461" i="10"/>
  <c r="H461" i="10"/>
  <c r="G462" i="10"/>
  <c r="H462" i="10"/>
  <c r="G463" i="10"/>
  <c r="H463" i="10"/>
  <c r="G464" i="10"/>
  <c r="H464" i="10"/>
  <c r="G465" i="10"/>
  <c r="H465" i="10"/>
  <c r="G466" i="10"/>
  <c r="H466" i="10"/>
  <c r="G467" i="10"/>
  <c r="H467" i="10"/>
  <c r="G468" i="10"/>
  <c r="H468" i="10"/>
  <c r="G469" i="10"/>
  <c r="H469" i="10"/>
  <c r="G470" i="10"/>
  <c r="H470" i="10"/>
  <c r="G471" i="10"/>
  <c r="H471" i="10"/>
  <c r="G472" i="10"/>
  <c r="H472" i="10"/>
  <c r="G473" i="10"/>
  <c r="H473" i="10"/>
  <c r="G474" i="10"/>
  <c r="H474" i="10"/>
  <c r="G475" i="10"/>
  <c r="H475" i="10"/>
  <c r="G476" i="10"/>
  <c r="H476" i="10"/>
  <c r="G477" i="10"/>
  <c r="H477" i="10"/>
  <c r="G478" i="10"/>
  <c r="H478" i="10"/>
  <c r="G479" i="10"/>
  <c r="H479" i="10"/>
  <c r="G480" i="10"/>
  <c r="H480" i="10"/>
  <c r="G481" i="10"/>
  <c r="H481" i="10"/>
  <c r="G482" i="10"/>
  <c r="H482" i="10"/>
  <c r="G483" i="10"/>
  <c r="H483" i="10"/>
  <c r="G484" i="10"/>
  <c r="H484" i="10"/>
  <c r="G485" i="10"/>
  <c r="H485" i="10"/>
  <c r="G486" i="10"/>
  <c r="H486" i="10"/>
  <c r="G487" i="10"/>
  <c r="H487" i="10"/>
  <c r="G488" i="10"/>
  <c r="H488" i="10"/>
  <c r="G489" i="10"/>
  <c r="H489" i="10"/>
  <c r="G490" i="10"/>
  <c r="H490" i="10"/>
  <c r="G491" i="10"/>
  <c r="H491" i="10"/>
  <c r="G492" i="10"/>
  <c r="H492" i="10"/>
  <c r="G493" i="10"/>
  <c r="H493" i="10"/>
  <c r="G494" i="10"/>
  <c r="H494" i="10"/>
  <c r="G495" i="10"/>
  <c r="H495" i="10"/>
  <c r="G496" i="10"/>
  <c r="H496" i="10"/>
  <c r="G497" i="10"/>
  <c r="H497" i="10"/>
  <c r="G498" i="10"/>
  <c r="H498" i="10"/>
  <c r="G499" i="10"/>
  <c r="H499" i="10"/>
  <c r="G500" i="10"/>
  <c r="H500" i="10"/>
  <c r="G501" i="10"/>
  <c r="H501" i="10"/>
  <c r="G502" i="10"/>
  <c r="H502" i="10"/>
  <c r="G503" i="10"/>
  <c r="H503" i="10"/>
  <c r="G504" i="10"/>
  <c r="H504" i="10"/>
  <c r="G505" i="10"/>
  <c r="H505" i="10"/>
  <c r="G506" i="10"/>
  <c r="H506" i="10"/>
  <c r="G507" i="10"/>
  <c r="H507" i="10"/>
  <c r="G508" i="10"/>
  <c r="H508" i="10"/>
  <c r="G509" i="10"/>
  <c r="H509" i="10"/>
  <c r="G510" i="10"/>
  <c r="H510" i="10"/>
  <c r="G511" i="10"/>
  <c r="H511" i="10"/>
  <c r="G512" i="10"/>
  <c r="H512" i="10"/>
  <c r="G513" i="10"/>
  <c r="H513" i="10"/>
  <c r="G514" i="10"/>
  <c r="H514" i="10"/>
  <c r="G515" i="10"/>
  <c r="H515" i="10"/>
  <c r="G516" i="10"/>
  <c r="H516" i="10"/>
  <c r="G517" i="10"/>
  <c r="H517" i="10"/>
  <c r="G518" i="10"/>
  <c r="H518" i="10"/>
  <c r="G519" i="10"/>
  <c r="H519" i="10"/>
  <c r="G520" i="10"/>
  <c r="H520" i="10"/>
  <c r="G521" i="10"/>
  <c r="H521" i="10"/>
  <c r="G522" i="10"/>
  <c r="H522" i="10"/>
  <c r="G523" i="10"/>
  <c r="H523" i="10"/>
  <c r="G524" i="10"/>
  <c r="H524" i="10"/>
  <c r="G525" i="10"/>
  <c r="H525" i="10"/>
  <c r="G526" i="10"/>
  <c r="H526" i="10"/>
  <c r="G527" i="10"/>
  <c r="H527" i="10"/>
  <c r="G528" i="10"/>
  <c r="H528" i="10"/>
  <c r="G529" i="10"/>
  <c r="H529" i="10"/>
  <c r="G530" i="10"/>
  <c r="H530" i="10"/>
  <c r="G531" i="10"/>
  <c r="H531" i="10"/>
  <c r="G532" i="10"/>
  <c r="H532" i="10"/>
  <c r="G533" i="10"/>
  <c r="H533" i="10"/>
  <c r="G534" i="10"/>
  <c r="H534" i="10"/>
  <c r="G535" i="10"/>
  <c r="H535" i="10"/>
  <c r="G536" i="10"/>
  <c r="H536" i="10"/>
  <c r="G537" i="10"/>
  <c r="H537" i="10"/>
  <c r="G538" i="10"/>
  <c r="H538" i="10"/>
  <c r="G539" i="10"/>
  <c r="H539" i="10"/>
  <c r="G540" i="10"/>
  <c r="H540" i="10"/>
  <c r="G541" i="10"/>
  <c r="H541" i="10"/>
  <c r="G542" i="10"/>
  <c r="H542" i="10"/>
  <c r="G543" i="10"/>
  <c r="H543" i="10"/>
  <c r="G544" i="10"/>
  <c r="H544" i="10"/>
  <c r="G545" i="10"/>
  <c r="H545" i="10"/>
  <c r="G546" i="10"/>
  <c r="H546" i="10"/>
  <c r="G547" i="10"/>
  <c r="H547" i="10"/>
  <c r="G548" i="10"/>
  <c r="H548" i="10"/>
  <c r="G549" i="10"/>
  <c r="H549" i="10"/>
  <c r="G550" i="10"/>
  <c r="H550" i="10"/>
  <c r="G551" i="10"/>
  <c r="H551" i="10"/>
  <c r="G552" i="10"/>
  <c r="H552" i="10"/>
  <c r="G553" i="10"/>
  <c r="H553" i="10"/>
  <c r="G554" i="10"/>
  <c r="H554" i="10"/>
  <c r="G555" i="10"/>
  <c r="H555" i="10"/>
  <c r="G556" i="10"/>
  <c r="H556" i="10"/>
  <c r="G557" i="10"/>
  <c r="H557" i="10"/>
  <c r="G558" i="10"/>
  <c r="H558" i="10"/>
  <c r="G559" i="10"/>
  <c r="H559" i="10"/>
  <c r="G560" i="10"/>
  <c r="H560" i="10"/>
  <c r="G561" i="10"/>
  <c r="H561" i="10"/>
  <c r="G562" i="10"/>
  <c r="H562" i="10"/>
  <c r="G563" i="10"/>
  <c r="H563" i="10"/>
  <c r="G564" i="10"/>
  <c r="H564" i="10"/>
  <c r="G565" i="10"/>
  <c r="H565" i="10"/>
  <c r="G566" i="10"/>
  <c r="H566" i="10"/>
  <c r="G567" i="10"/>
  <c r="H567" i="10"/>
  <c r="G568" i="10"/>
  <c r="H568" i="10"/>
  <c r="G569" i="10"/>
  <c r="H569" i="10"/>
  <c r="G570" i="10"/>
  <c r="H570" i="10"/>
  <c r="G571" i="10"/>
  <c r="H571" i="10"/>
  <c r="G572" i="10"/>
  <c r="H572" i="10"/>
  <c r="G573" i="10"/>
  <c r="H573" i="10"/>
  <c r="G574" i="10"/>
  <c r="H574" i="10"/>
  <c r="G575" i="10"/>
  <c r="H575" i="10"/>
  <c r="G576" i="10"/>
  <c r="H576" i="10"/>
  <c r="G577" i="10"/>
  <c r="H577" i="10"/>
  <c r="H2" i="10"/>
  <c r="G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F386" i="10" s="1" a="1"/>
  <c r="F386" i="10" s="1"/>
  <c r="B387" i="10"/>
  <c r="B388" i="10"/>
  <c r="B389" i="10"/>
  <c r="B390" i="10"/>
  <c r="B391" i="10"/>
  <c r="B392" i="10"/>
  <c r="F392" i="10" s="1" a="1"/>
  <c r="F392" i="10" s="1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F410" i="10" s="1" a="1"/>
  <c r="F410" i="10" s="1"/>
  <c r="B411" i="10"/>
  <c r="B412" i="10"/>
  <c r="B413" i="10"/>
  <c r="B414" i="10"/>
  <c r="B415" i="10"/>
  <c r="B416" i="10"/>
  <c r="F416" i="10" s="1" a="1"/>
  <c r="F416" i="10" s="1"/>
  <c r="B417" i="10"/>
  <c r="B418" i="10"/>
  <c r="B419" i="10"/>
  <c r="B420" i="10"/>
  <c r="B421" i="10"/>
  <c r="B422" i="10"/>
  <c r="F422" i="10" s="1" a="1"/>
  <c r="F422" i="10" s="1"/>
  <c r="B423" i="10"/>
  <c r="B424" i="10"/>
  <c r="B425" i="10"/>
  <c r="B426" i="10"/>
  <c r="B427" i="10"/>
  <c r="B428" i="10"/>
  <c r="F428" i="10" s="1" a="1"/>
  <c r="F428" i="10" s="1"/>
  <c r="B429" i="10"/>
  <c r="B430" i="10"/>
  <c r="B431" i="10"/>
  <c r="B432" i="10"/>
  <c r="B433" i="10"/>
  <c r="B434" i="10"/>
  <c r="F434" i="10" s="1" a="1"/>
  <c r="F434" i="10" s="1"/>
  <c r="B435" i="10"/>
  <c r="B436" i="10"/>
  <c r="B437" i="10"/>
  <c r="B438" i="10"/>
  <c r="B439" i="10"/>
  <c r="B440" i="10"/>
  <c r="F440" i="10" s="1" a="1"/>
  <c r="F440" i="10" s="1"/>
  <c r="B441" i="10"/>
  <c r="B442" i="10"/>
  <c r="B443" i="10"/>
  <c r="B444" i="10"/>
  <c r="B445" i="10"/>
  <c r="B446" i="10"/>
  <c r="F446" i="10" s="1" a="1"/>
  <c r="F446" i="10" s="1"/>
  <c r="B447" i="10"/>
  <c r="B448" i="10"/>
  <c r="F448" i="10" s="1" a="1"/>
  <c r="F448" i="10" s="1"/>
  <c r="B449" i="10"/>
  <c r="F449" i="10" s="1" a="1"/>
  <c r="F449" i="10" s="1"/>
  <c r="B450" i="10"/>
  <c r="F450" i="10" s="1" a="1"/>
  <c r="F450" i="10" s="1"/>
  <c r="B451" i="10"/>
  <c r="B452" i="10"/>
  <c r="B453" i="10"/>
  <c r="B454" i="10"/>
  <c r="F454" i="10" s="1" a="1"/>
  <c r="F454" i="10" s="1"/>
  <c r="B455" i="10"/>
  <c r="B456" i="10"/>
  <c r="B457" i="10"/>
  <c r="B458" i="10"/>
  <c r="F458" i="10" s="1" a="1"/>
  <c r="F458" i="10" s="1"/>
  <c r="B459" i="10"/>
  <c r="B460" i="10"/>
  <c r="F460" i="10" s="1" a="1"/>
  <c r="F460" i="10" s="1"/>
  <c r="B461" i="10"/>
  <c r="F461" i="10" s="1" a="1"/>
  <c r="F461" i="10" s="1"/>
  <c r="B462" i="10"/>
  <c r="F462" i="10" s="1" a="1"/>
  <c r="F462" i="10" s="1"/>
  <c r="B463" i="10"/>
  <c r="B464" i="10"/>
  <c r="F464" i="10" s="1" a="1"/>
  <c r="F464" i="10" s="1"/>
  <c r="B465" i="10"/>
  <c r="B466" i="10"/>
  <c r="F466" i="10" s="1" a="1"/>
  <c r="F466" i="10" s="1"/>
  <c r="B467" i="10"/>
  <c r="F467" i="10" s="1" a="1"/>
  <c r="F467" i="10" s="1"/>
  <c r="B468" i="10"/>
  <c r="F468" i="10" s="1" a="1"/>
  <c r="F468" i="10" s="1"/>
  <c r="B469" i="10"/>
  <c r="B470" i="10"/>
  <c r="F470" i="10" s="1" a="1"/>
  <c r="F470" i="10" s="1"/>
  <c r="B471" i="10"/>
  <c r="B472" i="10"/>
  <c r="F472" i="10" s="1" a="1"/>
  <c r="F472" i="10" s="1"/>
  <c r="B473" i="10"/>
  <c r="B474" i="10"/>
  <c r="B475" i="10"/>
  <c r="B476" i="10"/>
  <c r="F476" i="10" s="1" a="1"/>
  <c r="F476" i="10" s="1"/>
  <c r="B477" i="10"/>
  <c r="B478" i="10"/>
  <c r="F478" i="10" s="1" a="1"/>
  <c r="F478" i="10" s="1"/>
  <c r="B479" i="10"/>
  <c r="F479" i="10" s="1" a="1"/>
  <c r="F479" i="10" s="1"/>
  <c r="B480" i="10"/>
  <c r="F480" i="10" s="1" a="1"/>
  <c r="F480" i="10" s="1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2" i="10"/>
  <c r="N483" i="10"/>
  <c r="R483" i="10"/>
  <c r="N484" i="10"/>
  <c r="R484" i="10"/>
  <c r="N485" i="10"/>
  <c r="R485" i="10"/>
  <c r="N486" i="10"/>
  <c r="R486" i="10"/>
  <c r="N487" i="10"/>
  <c r="R487" i="10"/>
  <c r="N488" i="10"/>
  <c r="R488" i="10"/>
  <c r="N489" i="10"/>
  <c r="R489" i="10"/>
  <c r="N490" i="10"/>
  <c r="R490" i="10"/>
  <c r="N491" i="10"/>
  <c r="R491" i="10"/>
  <c r="N492" i="10"/>
  <c r="R492" i="10"/>
  <c r="N493" i="10"/>
  <c r="R493" i="10"/>
  <c r="N494" i="10"/>
  <c r="R494" i="10"/>
  <c r="N495" i="10"/>
  <c r="R495" i="10"/>
  <c r="N496" i="10"/>
  <c r="R496" i="10"/>
  <c r="N497" i="10"/>
  <c r="R497" i="10"/>
  <c r="N498" i="10"/>
  <c r="R498" i="10"/>
  <c r="N499" i="10"/>
  <c r="R499" i="10"/>
  <c r="N500" i="10"/>
  <c r="R500" i="10"/>
  <c r="N501" i="10"/>
  <c r="R501" i="10"/>
  <c r="N502" i="10"/>
  <c r="R502" i="10"/>
  <c r="N503" i="10"/>
  <c r="R503" i="10"/>
  <c r="N504" i="10"/>
  <c r="R504" i="10"/>
  <c r="N505" i="10"/>
  <c r="R505" i="10"/>
  <c r="N506" i="10"/>
  <c r="R506" i="10"/>
  <c r="N507" i="10"/>
  <c r="R507" i="10"/>
  <c r="N508" i="10"/>
  <c r="R508" i="10"/>
  <c r="N509" i="10"/>
  <c r="R509" i="10"/>
  <c r="N510" i="10"/>
  <c r="R510" i="10"/>
  <c r="N511" i="10"/>
  <c r="R511" i="10"/>
  <c r="N512" i="10"/>
  <c r="R512" i="10"/>
  <c r="N513" i="10"/>
  <c r="R513" i="10"/>
  <c r="N514" i="10"/>
  <c r="R514" i="10"/>
  <c r="N515" i="10"/>
  <c r="R515" i="10"/>
  <c r="N516" i="10"/>
  <c r="R516" i="10"/>
  <c r="N517" i="10"/>
  <c r="R517" i="10"/>
  <c r="N518" i="10"/>
  <c r="R518" i="10"/>
  <c r="N519" i="10"/>
  <c r="R519" i="10"/>
  <c r="N520" i="10"/>
  <c r="R520" i="10"/>
  <c r="N521" i="10"/>
  <c r="R521" i="10"/>
  <c r="N522" i="10"/>
  <c r="R522" i="10"/>
  <c r="N523" i="10"/>
  <c r="R523" i="10"/>
  <c r="N524" i="10"/>
  <c r="R524" i="10"/>
  <c r="N525" i="10"/>
  <c r="R525" i="10"/>
  <c r="N526" i="10"/>
  <c r="R526" i="10"/>
  <c r="N527" i="10"/>
  <c r="R527" i="10"/>
  <c r="N528" i="10"/>
  <c r="R528" i="10"/>
  <c r="N529" i="10"/>
  <c r="R529" i="10"/>
  <c r="N530" i="10"/>
  <c r="R530" i="10"/>
  <c r="N531" i="10"/>
  <c r="R531" i="10"/>
  <c r="N532" i="10"/>
  <c r="R532" i="10"/>
  <c r="N533" i="10"/>
  <c r="R533" i="10"/>
  <c r="N534" i="10"/>
  <c r="R534" i="10"/>
  <c r="N535" i="10"/>
  <c r="R535" i="10"/>
  <c r="N536" i="10"/>
  <c r="R536" i="10"/>
  <c r="N537" i="10"/>
  <c r="R537" i="10"/>
  <c r="N538" i="10"/>
  <c r="R538" i="10"/>
  <c r="N539" i="10"/>
  <c r="R539" i="10"/>
  <c r="N540" i="10"/>
  <c r="R540" i="10"/>
  <c r="N541" i="10"/>
  <c r="R541" i="10"/>
  <c r="N542" i="10"/>
  <c r="R542" i="10"/>
  <c r="N543" i="10"/>
  <c r="R543" i="10"/>
  <c r="N544" i="10"/>
  <c r="R544" i="10"/>
  <c r="N545" i="10"/>
  <c r="R545" i="10"/>
  <c r="N546" i="10"/>
  <c r="R546" i="10"/>
  <c r="N547" i="10"/>
  <c r="R547" i="10"/>
  <c r="N548" i="10"/>
  <c r="R548" i="10"/>
  <c r="N549" i="10"/>
  <c r="R549" i="10"/>
  <c r="N550" i="10"/>
  <c r="R550" i="10"/>
  <c r="N551" i="10"/>
  <c r="R551" i="10"/>
  <c r="N552" i="10"/>
  <c r="R552" i="10"/>
  <c r="N553" i="10"/>
  <c r="R553" i="10"/>
  <c r="N554" i="10"/>
  <c r="R554" i="10"/>
  <c r="N555" i="10"/>
  <c r="R555" i="10"/>
  <c r="N556" i="10"/>
  <c r="R556" i="10"/>
  <c r="N557" i="10"/>
  <c r="R557" i="10"/>
  <c r="N558" i="10"/>
  <c r="R558" i="10"/>
  <c r="N559" i="10"/>
  <c r="R559" i="10"/>
  <c r="N560" i="10"/>
  <c r="R560" i="10"/>
  <c r="N561" i="10"/>
  <c r="R561" i="10"/>
  <c r="N562" i="10"/>
  <c r="R562" i="10"/>
  <c r="N563" i="10"/>
  <c r="R563" i="10"/>
  <c r="N564" i="10"/>
  <c r="R564" i="10"/>
  <c r="N565" i="10"/>
  <c r="R565" i="10"/>
  <c r="N566" i="10"/>
  <c r="R566" i="10"/>
  <c r="N567" i="10"/>
  <c r="R567" i="10"/>
  <c r="N568" i="10"/>
  <c r="R568" i="10"/>
  <c r="N569" i="10"/>
  <c r="R569" i="10"/>
  <c r="N570" i="10"/>
  <c r="R570" i="10"/>
  <c r="N571" i="10"/>
  <c r="R571" i="10"/>
  <c r="N572" i="10"/>
  <c r="R572" i="10"/>
  <c r="N573" i="10"/>
  <c r="R573" i="10"/>
  <c r="N574" i="10"/>
  <c r="R574" i="10"/>
  <c r="N575" i="10"/>
  <c r="R575" i="10"/>
  <c r="N576" i="10"/>
  <c r="R576" i="10"/>
  <c r="N577" i="10"/>
  <c r="R577" i="10"/>
  <c r="R482" i="10"/>
  <c r="N482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6" i="10"/>
  <c r="F295" i="10"/>
  <c r="F294" i="10"/>
  <c r="F293" i="10"/>
  <c r="F292" i="10"/>
  <c r="F291" i="10"/>
  <c r="F290" i="10"/>
  <c r="F289" i="10"/>
  <c r="F288" i="10"/>
  <c r="F287" i="10"/>
  <c r="F285" i="10"/>
  <c r="F283" i="10"/>
  <c r="F282" i="10"/>
  <c r="F281" i="10"/>
  <c r="F279" i="10"/>
  <c r="F277" i="10"/>
  <c r="F276" i="10"/>
  <c r="F275" i="10"/>
  <c r="F273" i="10"/>
  <c r="F271" i="10"/>
  <c r="F270" i="10"/>
  <c r="F269" i="10"/>
  <c r="F267" i="10"/>
  <c r="F265" i="10"/>
  <c r="F264" i="10"/>
  <c r="F263" i="10"/>
  <c r="F261" i="10"/>
  <c r="F259" i="10"/>
  <c r="F258" i="10"/>
  <c r="F257" i="10"/>
  <c r="F255" i="10"/>
  <c r="F253" i="10"/>
  <c r="F252" i="10"/>
  <c r="F251" i="10"/>
  <c r="F249" i="10"/>
  <c r="F247" i="10"/>
  <c r="F246" i="10"/>
  <c r="F245" i="10"/>
  <c r="F243" i="10"/>
  <c r="F241" i="10"/>
  <c r="F240" i="10"/>
  <c r="F239" i="10"/>
  <c r="F237" i="10"/>
  <c r="F235" i="10"/>
  <c r="F234" i="10"/>
  <c r="F233" i="10"/>
  <c r="F231" i="10"/>
  <c r="F229" i="10"/>
  <c r="F228" i="10"/>
  <c r="F227" i="10"/>
  <c r="F225" i="10"/>
  <c r="F223" i="10"/>
  <c r="F222" i="10"/>
  <c r="F221" i="10"/>
  <c r="F219" i="10"/>
  <c r="F217" i="10"/>
  <c r="F216" i="10"/>
  <c r="F215" i="10"/>
  <c r="F214" i="10"/>
  <c r="F212" i="10"/>
  <c r="F211" i="10"/>
  <c r="F210" i="10"/>
  <c r="F209" i="10"/>
  <c r="F208" i="10"/>
  <c r="F206" i="10"/>
  <c r="F205" i="10"/>
  <c r="F204" i="10"/>
  <c r="F203" i="10"/>
  <c r="F202" i="10"/>
  <c r="F200" i="10"/>
  <c r="F199" i="10"/>
  <c r="F198" i="10"/>
  <c r="F197" i="10"/>
  <c r="F195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4" i="10"/>
  <c r="F103" i="10"/>
  <c r="F102" i="10"/>
  <c r="F101" i="10"/>
  <c r="F100" i="10"/>
  <c r="F99" i="10"/>
  <c r="F98" i="10"/>
  <c r="F97" i="10"/>
  <c r="F96" i="10"/>
  <c r="F95" i="10"/>
  <c r="F93" i="10"/>
  <c r="F91" i="10"/>
  <c r="F90" i="10"/>
  <c r="F89" i="10"/>
  <c r="F87" i="10"/>
  <c r="F85" i="10"/>
  <c r="F84" i="10"/>
  <c r="F83" i="10"/>
  <c r="F81" i="10"/>
  <c r="F79" i="10"/>
  <c r="F78" i="10"/>
  <c r="F77" i="10"/>
  <c r="F75" i="10"/>
  <c r="F73" i="10"/>
  <c r="F72" i="10"/>
  <c r="F71" i="10"/>
  <c r="F69" i="10"/>
  <c r="F67" i="10"/>
  <c r="F66" i="10"/>
  <c r="F65" i="10"/>
  <c r="F63" i="10"/>
  <c r="F61" i="10"/>
  <c r="F60" i="10"/>
  <c r="F59" i="10"/>
  <c r="F57" i="10"/>
  <c r="F55" i="10"/>
  <c r="F54" i="10"/>
  <c r="F53" i="10"/>
  <c r="F51" i="10"/>
  <c r="F49" i="10"/>
  <c r="F48" i="10"/>
  <c r="F47" i="10"/>
  <c r="F45" i="10"/>
  <c r="F43" i="10"/>
  <c r="F42" i="10"/>
  <c r="F41" i="10"/>
  <c r="F39" i="10"/>
  <c r="F37" i="10"/>
  <c r="F36" i="10"/>
  <c r="F35" i="10"/>
  <c r="F33" i="10"/>
  <c r="F31" i="10"/>
  <c r="F30" i="10"/>
  <c r="F29" i="10"/>
  <c r="F27" i="10"/>
  <c r="F25" i="10"/>
  <c r="F24" i="10"/>
  <c r="F23" i="10"/>
  <c r="F22" i="10"/>
  <c r="F20" i="10"/>
  <c r="F19" i="10"/>
  <c r="F18" i="10"/>
  <c r="F17" i="10"/>
  <c r="F16" i="10"/>
  <c r="F14" i="10"/>
  <c r="F13" i="10"/>
  <c r="F12" i="10"/>
  <c r="F11" i="10"/>
  <c r="F10" i="10"/>
  <c r="F8" i="10"/>
  <c r="F7" i="10"/>
  <c r="F6" i="10"/>
  <c r="F5" i="10"/>
  <c r="F3" i="10"/>
  <c r="C37" i="9" l="1" a="1"/>
  <c r="C37" i="9" s="1"/>
  <c r="D37" i="9" s="1"/>
  <c r="C38" i="9" a="1"/>
  <c r="C38" i="9" s="1"/>
  <c r="D38" i="9" s="1"/>
  <c r="C46" i="9" a="1"/>
  <c r="C46" i="9" s="1"/>
  <c r="D46" i="9" s="1"/>
  <c r="F46" i="9" s="1"/>
  <c r="C47" i="9" a="1"/>
  <c r="C47" i="9" s="1"/>
  <c r="D47" i="9" s="1"/>
  <c r="F47" i="9" s="1"/>
  <c r="C51" i="9" a="1"/>
  <c r="C51" i="9" s="1"/>
  <c r="D51" i="9" s="1"/>
  <c r="F51" i="9" s="1"/>
  <c r="C49" i="9" a="1"/>
  <c r="C49" i="9" s="1"/>
  <c r="D49" i="9" s="1"/>
  <c r="F49" i="9" s="1"/>
  <c r="C50" i="9" a="1"/>
  <c r="C50" i="9" s="1"/>
  <c r="D50" i="9" s="1"/>
  <c r="C39" i="9" a="1"/>
  <c r="C39" i="9" s="1"/>
  <c r="D39" i="9" s="1"/>
  <c r="C40" i="9" a="1"/>
  <c r="C40" i="9" s="1"/>
  <c r="D40" i="9" s="1"/>
  <c r="C41" i="9" a="1"/>
  <c r="C41" i="9" s="1"/>
  <c r="D41" i="9" s="1"/>
  <c r="C42" i="9" a="1"/>
  <c r="C42" i="9" s="1"/>
  <c r="D42" i="9" s="1"/>
  <c r="F42" i="9" s="1"/>
  <c r="C43" i="9" a="1"/>
  <c r="C43" i="9" s="1"/>
  <c r="D43" i="9" s="1"/>
  <c r="C44" i="9" a="1"/>
  <c r="C44" i="9" s="1"/>
  <c r="D44" i="9" s="1"/>
  <c r="C48" i="9" a="1"/>
  <c r="C48" i="9" s="1"/>
  <c r="D48" i="9" s="1"/>
  <c r="C45" i="9" a="1"/>
  <c r="C45" i="9" s="1"/>
  <c r="D45" i="9" s="1"/>
  <c r="C52" i="9" a="1"/>
  <c r="C52" i="9" s="1"/>
  <c r="D52" i="9" s="1"/>
  <c r="O475" i="10" a="1"/>
  <c r="O475" i="10" s="1"/>
  <c r="P475" i="10" a="1"/>
  <c r="P475" i="10" s="1"/>
  <c r="L475" i="10" a="1"/>
  <c r="L475" i="10" s="1"/>
  <c r="K475" i="10" a="1"/>
  <c r="K475" i="10" s="1"/>
  <c r="O463" i="10" a="1"/>
  <c r="O463" i="10" s="1"/>
  <c r="P463" i="10" a="1"/>
  <c r="P463" i="10" s="1"/>
  <c r="L463" i="10" a="1"/>
  <c r="L463" i="10" s="1"/>
  <c r="K463" i="10" a="1"/>
  <c r="K463" i="10" s="1"/>
  <c r="O451" i="10" a="1"/>
  <c r="O451" i="10" s="1"/>
  <c r="P451" i="10" a="1"/>
  <c r="P451" i="10" s="1"/>
  <c r="L451" i="10" a="1"/>
  <c r="L451" i="10" s="1"/>
  <c r="K451" i="10" a="1"/>
  <c r="K451" i="10" s="1"/>
  <c r="O439" i="10" a="1"/>
  <c r="O439" i="10" s="1"/>
  <c r="P439" i="10" a="1"/>
  <c r="P439" i="10" s="1"/>
  <c r="L439" i="10" a="1"/>
  <c r="L439" i="10" s="1"/>
  <c r="K439" i="10" a="1"/>
  <c r="K439" i="10" s="1"/>
  <c r="O427" i="10" a="1"/>
  <c r="O427" i="10" s="1"/>
  <c r="P427" i="10" a="1"/>
  <c r="P427" i="10" s="1"/>
  <c r="L427" i="10" a="1"/>
  <c r="L427" i="10" s="1"/>
  <c r="K427" i="10" a="1"/>
  <c r="K427" i="10" s="1"/>
  <c r="O415" i="10" a="1"/>
  <c r="O415" i="10" s="1"/>
  <c r="P415" i="10" a="1"/>
  <c r="P415" i="10" s="1"/>
  <c r="L415" i="10" a="1"/>
  <c r="L415" i="10" s="1"/>
  <c r="K415" i="10" a="1"/>
  <c r="K415" i="10" s="1"/>
  <c r="O403" i="10" a="1"/>
  <c r="O403" i="10" s="1"/>
  <c r="P403" i="10" a="1"/>
  <c r="P403" i="10" s="1"/>
  <c r="L403" i="10" a="1"/>
  <c r="L403" i="10" s="1"/>
  <c r="K403" i="10" a="1"/>
  <c r="K403" i="10" s="1"/>
  <c r="O391" i="10" a="1"/>
  <c r="O391" i="10" s="1"/>
  <c r="P391" i="10" a="1"/>
  <c r="P391" i="10" s="1"/>
  <c r="L391" i="10" a="1"/>
  <c r="L391" i="10" s="1"/>
  <c r="K391" i="10" a="1"/>
  <c r="K391" i="10" s="1"/>
  <c r="O474" i="10" a="1"/>
  <c r="O474" i="10" s="1"/>
  <c r="P474" i="10" a="1"/>
  <c r="P474" i="10" s="1"/>
  <c r="L474" i="10" a="1"/>
  <c r="L474" i="10" s="1"/>
  <c r="K474" i="10" a="1"/>
  <c r="K474" i="10" s="1"/>
  <c r="O462" i="10" a="1"/>
  <c r="O462" i="10" s="1"/>
  <c r="P462" i="10" a="1"/>
  <c r="P462" i="10" s="1"/>
  <c r="L462" i="10" a="1"/>
  <c r="L462" i="10" s="1"/>
  <c r="K462" i="10" a="1"/>
  <c r="K462" i="10" s="1"/>
  <c r="K450" i="10" a="1"/>
  <c r="K450" i="10" s="1"/>
  <c r="O450" i="10" a="1"/>
  <c r="O450" i="10" s="1"/>
  <c r="P450" i="10" a="1"/>
  <c r="P450" i="10" s="1"/>
  <c r="L450" i="10" a="1"/>
  <c r="L450" i="10" s="1"/>
  <c r="O438" i="10" a="1"/>
  <c r="O438" i="10" s="1"/>
  <c r="P438" i="10" a="1"/>
  <c r="P438" i="10" s="1"/>
  <c r="L438" i="10" a="1"/>
  <c r="L438" i="10" s="1"/>
  <c r="K438" i="10" a="1"/>
  <c r="K438" i="10" s="1"/>
  <c r="O426" i="10" a="1"/>
  <c r="O426" i="10" s="1"/>
  <c r="P426" i="10" a="1"/>
  <c r="P426" i="10" s="1"/>
  <c r="L426" i="10" a="1"/>
  <c r="L426" i="10" s="1"/>
  <c r="K426" i="10" a="1"/>
  <c r="K426" i="10" s="1"/>
  <c r="K414" i="10" a="1"/>
  <c r="K414" i="10" s="1"/>
  <c r="O414" i="10" a="1"/>
  <c r="O414" i="10" s="1"/>
  <c r="P414" i="10" a="1"/>
  <c r="P414" i="10" s="1"/>
  <c r="L414" i="10" a="1"/>
  <c r="L414" i="10" s="1"/>
  <c r="O402" i="10" a="1"/>
  <c r="O402" i="10" s="1"/>
  <c r="P402" i="10" a="1"/>
  <c r="P402" i="10" s="1"/>
  <c r="L402" i="10" a="1"/>
  <c r="L402" i="10" s="1"/>
  <c r="K402" i="10" a="1"/>
  <c r="K402" i="10" s="1"/>
  <c r="O472" i="10" a="1"/>
  <c r="O472" i="10" s="1"/>
  <c r="P472" i="10" a="1"/>
  <c r="P472" i="10" s="1"/>
  <c r="L472" i="10" a="1"/>
  <c r="L472" i="10" s="1"/>
  <c r="K472" i="10" a="1"/>
  <c r="K472" i="10" s="1"/>
  <c r="K460" i="10" a="1"/>
  <c r="K460" i="10" s="1"/>
  <c r="O460" i="10" a="1"/>
  <c r="O460" i="10" s="1"/>
  <c r="P460" i="10" a="1"/>
  <c r="P460" i="10" s="1"/>
  <c r="L460" i="10" a="1"/>
  <c r="L460" i="10" s="1"/>
  <c r="O448" i="10" a="1"/>
  <c r="O448" i="10" s="1"/>
  <c r="P448" i="10" a="1"/>
  <c r="P448" i="10" s="1"/>
  <c r="L448" i="10" a="1"/>
  <c r="L448" i="10" s="1"/>
  <c r="K448" i="10" a="1"/>
  <c r="K448" i="10" s="1"/>
  <c r="K436" i="10" a="1"/>
  <c r="K436" i="10" s="1"/>
  <c r="O436" i="10" a="1"/>
  <c r="O436" i="10" s="1"/>
  <c r="P436" i="10" a="1"/>
  <c r="P436" i="10" s="1"/>
  <c r="L436" i="10" a="1"/>
  <c r="L436" i="10" s="1"/>
  <c r="O424" i="10" a="1"/>
  <c r="O424" i="10" s="1"/>
  <c r="P424" i="10" a="1"/>
  <c r="P424" i="10" s="1"/>
  <c r="L424" i="10" a="1"/>
  <c r="L424" i="10" s="1"/>
  <c r="K424" i="10" a="1"/>
  <c r="K424" i="10" s="1"/>
  <c r="K412" i="10" a="1"/>
  <c r="K412" i="10" s="1"/>
  <c r="O412" i="10" a="1"/>
  <c r="O412" i="10" s="1"/>
  <c r="P412" i="10" a="1"/>
  <c r="P412" i="10" s="1"/>
  <c r="L412" i="10" a="1"/>
  <c r="L412" i="10" s="1"/>
  <c r="K400" i="10" a="1"/>
  <c r="K400" i="10" s="1"/>
  <c r="O400" i="10" a="1"/>
  <c r="O400" i="10" s="1"/>
  <c r="P400" i="10" a="1"/>
  <c r="P400" i="10" s="1"/>
  <c r="L400" i="10" a="1"/>
  <c r="L400" i="10" s="1"/>
  <c r="O473" i="10" a="1"/>
  <c r="O473" i="10" s="1"/>
  <c r="P473" i="10" a="1"/>
  <c r="P473" i="10" s="1"/>
  <c r="L473" i="10" a="1"/>
  <c r="L473" i="10" s="1"/>
  <c r="K473" i="10" a="1"/>
  <c r="K473" i="10" s="1"/>
  <c r="O461" i="10" a="1"/>
  <c r="O461" i="10" s="1"/>
  <c r="P461" i="10" a="1"/>
  <c r="P461" i="10" s="1"/>
  <c r="L461" i="10" a="1"/>
  <c r="L461" i="10" s="1"/>
  <c r="K461" i="10" a="1"/>
  <c r="K461" i="10" s="1"/>
  <c r="O449" i="10" a="1"/>
  <c r="O449" i="10" s="1"/>
  <c r="P449" i="10" a="1"/>
  <c r="P449" i="10" s="1"/>
  <c r="L449" i="10" a="1"/>
  <c r="L449" i="10" s="1"/>
  <c r="K449" i="10" a="1"/>
  <c r="K449" i="10" s="1"/>
  <c r="O437" i="10" a="1"/>
  <c r="O437" i="10" s="1"/>
  <c r="P437" i="10" a="1"/>
  <c r="P437" i="10" s="1"/>
  <c r="L437" i="10" a="1"/>
  <c r="L437" i="10" s="1"/>
  <c r="K437" i="10" a="1"/>
  <c r="K437" i="10" s="1"/>
  <c r="O425" i="10" a="1"/>
  <c r="O425" i="10" s="1"/>
  <c r="P425" i="10" a="1"/>
  <c r="P425" i="10" s="1"/>
  <c r="L425" i="10" a="1"/>
  <c r="L425" i="10" s="1"/>
  <c r="K425" i="10" a="1"/>
  <c r="K425" i="10" s="1"/>
  <c r="L413" i="10" a="1"/>
  <c r="L413" i="10" s="1"/>
  <c r="O413" i="10" a="1"/>
  <c r="O413" i="10" s="1"/>
  <c r="P413" i="10" a="1"/>
  <c r="P413" i="10" s="1"/>
  <c r="K413" i="10" a="1"/>
  <c r="K413" i="10" s="1"/>
  <c r="L401" i="10" a="1"/>
  <c r="L401" i="10" s="1"/>
  <c r="O401" i="10" a="1"/>
  <c r="O401" i="10" s="1"/>
  <c r="P401" i="10" a="1"/>
  <c r="P401" i="10" s="1"/>
  <c r="K401" i="10" a="1"/>
  <c r="K401" i="10" s="1"/>
  <c r="K471" i="10" a="1"/>
  <c r="K471" i="10" s="1"/>
  <c r="O471" i="10" a="1"/>
  <c r="O471" i="10" s="1"/>
  <c r="P471" i="10" a="1"/>
  <c r="P471" i="10" s="1"/>
  <c r="L471" i="10" a="1"/>
  <c r="L471" i="10" s="1"/>
  <c r="K459" i="10" a="1"/>
  <c r="K459" i="10" s="1"/>
  <c r="O459" i="10" a="1"/>
  <c r="O459" i="10" s="1"/>
  <c r="P459" i="10" a="1"/>
  <c r="P459" i="10" s="1"/>
  <c r="L459" i="10" a="1"/>
  <c r="L459" i="10" s="1"/>
  <c r="K447" i="10" a="1"/>
  <c r="K447" i="10" s="1"/>
  <c r="O447" i="10" a="1"/>
  <c r="O447" i="10" s="1"/>
  <c r="P447" i="10" a="1"/>
  <c r="P447" i="10" s="1"/>
  <c r="L447" i="10" a="1"/>
  <c r="L447" i="10" s="1"/>
  <c r="O435" i="10" a="1"/>
  <c r="O435" i="10" s="1"/>
  <c r="P435" i="10" a="1"/>
  <c r="P435" i="10" s="1"/>
  <c r="L435" i="10" a="1"/>
  <c r="L435" i="10" s="1"/>
  <c r="K435" i="10" a="1"/>
  <c r="K435" i="10" s="1"/>
  <c r="K423" i="10" a="1"/>
  <c r="K423" i="10" s="1"/>
  <c r="O423" i="10" a="1"/>
  <c r="O423" i="10" s="1"/>
  <c r="P423" i="10" a="1"/>
  <c r="P423" i="10" s="1"/>
  <c r="L423" i="10" a="1"/>
  <c r="L423" i="10" s="1"/>
  <c r="K411" i="10" a="1"/>
  <c r="K411" i="10" s="1"/>
  <c r="O411" i="10" a="1"/>
  <c r="O411" i="10" s="1"/>
  <c r="P411" i="10" a="1"/>
  <c r="P411" i="10" s="1"/>
  <c r="L411" i="10" a="1"/>
  <c r="L411" i="10" s="1"/>
  <c r="K399" i="10" a="1"/>
  <c r="K399" i="10" s="1"/>
  <c r="O399" i="10" a="1"/>
  <c r="O399" i="10" s="1"/>
  <c r="P399" i="10" a="1"/>
  <c r="P399" i="10" s="1"/>
  <c r="L399" i="10" a="1"/>
  <c r="L399" i="10" s="1"/>
  <c r="O481" i="10" a="1"/>
  <c r="O481" i="10" s="1"/>
  <c r="P481" i="10" a="1"/>
  <c r="P481" i="10" s="1"/>
  <c r="L481" i="10" a="1"/>
  <c r="L481" i="10" s="1"/>
  <c r="K481" i="10" a="1"/>
  <c r="K481" i="10" s="1"/>
  <c r="O457" i="10" a="1"/>
  <c r="O457" i="10" s="1"/>
  <c r="P457" i="10" a="1"/>
  <c r="P457" i="10" s="1"/>
  <c r="L457" i="10" a="1"/>
  <c r="L457" i="10" s="1"/>
  <c r="K457" i="10" a="1"/>
  <c r="K457" i="10" s="1"/>
  <c r="O433" i="10" a="1"/>
  <c r="O433" i="10" s="1"/>
  <c r="P433" i="10" a="1"/>
  <c r="P433" i="10" s="1"/>
  <c r="L433" i="10" a="1"/>
  <c r="L433" i="10" s="1"/>
  <c r="K433" i="10" a="1"/>
  <c r="K433" i="10" s="1"/>
  <c r="O409" i="10" a="1"/>
  <c r="O409" i="10" s="1"/>
  <c r="P409" i="10" a="1"/>
  <c r="P409" i="10" s="1"/>
  <c r="L409" i="10" a="1"/>
  <c r="L409" i="10" s="1"/>
  <c r="K409" i="10" a="1"/>
  <c r="K409" i="10" s="1"/>
  <c r="O480" i="10" a="1"/>
  <c r="O480" i="10" s="1"/>
  <c r="P480" i="10" a="1"/>
  <c r="P480" i="10" s="1"/>
  <c r="L480" i="10" a="1"/>
  <c r="L480" i="10" s="1"/>
  <c r="K480" i="10" a="1"/>
  <c r="K480" i="10" s="1"/>
  <c r="O444" i="10" a="1"/>
  <c r="O444" i="10" s="1"/>
  <c r="P444" i="10" a="1"/>
  <c r="P444" i="10" s="1"/>
  <c r="L444" i="10" a="1"/>
  <c r="L444" i="10" s="1"/>
  <c r="K444" i="10" a="1"/>
  <c r="K444" i="10" s="1"/>
  <c r="O396" i="10" a="1"/>
  <c r="O396" i="10" s="1"/>
  <c r="P396" i="10" a="1"/>
  <c r="P396" i="10" s="1"/>
  <c r="L396" i="10" a="1"/>
  <c r="L396" i="10" s="1"/>
  <c r="K396" i="10" a="1"/>
  <c r="K396" i="10" s="1"/>
  <c r="O467" i="10" a="1"/>
  <c r="O467" i="10" s="1"/>
  <c r="P467" i="10" a="1"/>
  <c r="P467" i="10" s="1"/>
  <c r="L467" i="10" a="1"/>
  <c r="L467" i="10" s="1"/>
  <c r="K467" i="10" a="1"/>
  <c r="K467" i="10" s="1"/>
  <c r="O431" i="10" a="1"/>
  <c r="O431" i="10" s="1"/>
  <c r="P431" i="10" a="1"/>
  <c r="P431" i="10" s="1"/>
  <c r="L431" i="10" a="1"/>
  <c r="L431" i="10" s="1"/>
  <c r="K431" i="10" a="1"/>
  <c r="K431" i="10" s="1"/>
  <c r="O407" i="10" a="1"/>
  <c r="O407" i="10" s="1"/>
  <c r="P407" i="10" a="1"/>
  <c r="P407" i="10" s="1"/>
  <c r="L407" i="10" a="1"/>
  <c r="L407" i="10" s="1"/>
  <c r="K407" i="10" a="1"/>
  <c r="K407" i="10" s="1"/>
  <c r="K466" i="10" a="1"/>
  <c r="K466" i="10" s="1"/>
  <c r="O466" i="10" a="1"/>
  <c r="O466" i="10" s="1"/>
  <c r="P466" i="10" a="1"/>
  <c r="P466" i="10" s="1"/>
  <c r="L466" i="10" a="1"/>
  <c r="L466" i="10" s="1"/>
  <c r="O430" i="10" a="1"/>
  <c r="O430" i="10" s="1"/>
  <c r="P430" i="10" a="1"/>
  <c r="P430" i="10" s="1"/>
  <c r="L430" i="10" a="1"/>
  <c r="L430" i="10" s="1"/>
  <c r="K430" i="10" a="1"/>
  <c r="K430" i="10" s="1"/>
  <c r="K406" i="10" a="1"/>
  <c r="K406" i="10" s="1"/>
  <c r="O406" i="10" a="1"/>
  <c r="O406" i="10" s="1"/>
  <c r="P406" i="10" a="1"/>
  <c r="P406" i="10" s="1"/>
  <c r="L406" i="10" a="1"/>
  <c r="L406" i="10" s="1"/>
  <c r="O470" i="10" a="1"/>
  <c r="O470" i="10" s="1"/>
  <c r="P470" i="10" a="1"/>
  <c r="P470" i="10" s="1"/>
  <c r="L470" i="10" a="1"/>
  <c r="L470" i="10" s="1"/>
  <c r="K470" i="10" a="1"/>
  <c r="K470" i="10" s="1"/>
  <c r="O458" i="10" a="1"/>
  <c r="O458" i="10" s="1"/>
  <c r="P458" i="10" a="1"/>
  <c r="P458" i="10" s="1"/>
  <c r="L458" i="10" a="1"/>
  <c r="L458" i="10" s="1"/>
  <c r="K458" i="10" a="1"/>
  <c r="K458" i="10" s="1"/>
  <c r="O446" i="10" a="1"/>
  <c r="O446" i="10" s="1"/>
  <c r="P446" i="10" a="1"/>
  <c r="P446" i="10" s="1"/>
  <c r="L446" i="10" a="1"/>
  <c r="L446" i="10" s="1"/>
  <c r="K446" i="10" a="1"/>
  <c r="K446" i="10" s="1"/>
  <c r="O434" i="10" a="1"/>
  <c r="O434" i="10" s="1"/>
  <c r="P434" i="10" a="1"/>
  <c r="P434" i="10" s="1"/>
  <c r="L434" i="10" a="1"/>
  <c r="L434" i="10" s="1"/>
  <c r="K434" i="10" a="1"/>
  <c r="K434" i="10" s="1"/>
  <c r="O422" i="10" a="1"/>
  <c r="O422" i="10" s="1"/>
  <c r="P422" i="10" a="1"/>
  <c r="P422" i="10" s="1"/>
  <c r="L422" i="10" a="1"/>
  <c r="L422" i="10" s="1"/>
  <c r="K422" i="10" a="1"/>
  <c r="K422" i="10" s="1"/>
  <c r="O410" i="10" a="1"/>
  <c r="O410" i="10" s="1"/>
  <c r="P410" i="10" a="1"/>
  <c r="P410" i="10" s="1"/>
  <c r="L410" i="10" a="1"/>
  <c r="L410" i="10" s="1"/>
  <c r="K410" i="10" a="1"/>
  <c r="K410" i="10" s="1"/>
  <c r="K398" i="10" a="1"/>
  <c r="K398" i="10" s="1"/>
  <c r="O398" i="10" a="1"/>
  <c r="O398" i="10" s="1"/>
  <c r="P398" i="10" a="1"/>
  <c r="P398" i="10" s="1"/>
  <c r="L398" i="10" a="1"/>
  <c r="L398" i="10" s="1"/>
  <c r="O469" i="10" a="1"/>
  <c r="O469" i="10" s="1"/>
  <c r="P469" i="10" a="1"/>
  <c r="P469" i="10" s="1"/>
  <c r="L469" i="10" a="1"/>
  <c r="L469" i="10" s="1"/>
  <c r="K469" i="10" a="1"/>
  <c r="K469" i="10" s="1"/>
  <c r="O445" i="10" a="1"/>
  <c r="O445" i="10" s="1"/>
  <c r="P445" i="10" a="1"/>
  <c r="P445" i="10" s="1"/>
  <c r="L445" i="10" a="1"/>
  <c r="L445" i="10" s="1"/>
  <c r="K445" i="10" a="1"/>
  <c r="K445" i="10" s="1"/>
  <c r="O421" i="10" a="1"/>
  <c r="O421" i="10" s="1"/>
  <c r="P421" i="10" a="1"/>
  <c r="P421" i="10" s="1"/>
  <c r="L421" i="10" a="1"/>
  <c r="L421" i="10" s="1"/>
  <c r="K421" i="10" a="1"/>
  <c r="K421" i="10" s="1"/>
  <c r="O397" i="10" a="1"/>
  <c r="O397" i="10" s="1"/>
  <c r="P397" i="10" a="1"/>
  <c r="P397" i="10" s="1"/>
  <c r="L397" i="10" a="1"/>
  <c r="L397" i="10" s="1"/>
  <c r="K397" i="10" a="1"/>
  <c r="K397" i="10" s="1"/>
  <c r="O468" i="10" a="1"/>
  <c r="O468" i="10" s="1"/>
  <c r="P468" i="10" a="1"/>
  <c r="P468" i="10" s="1"/>
  <c r="L468" i="10" a="1"/>
  <c r="L468" i="10" s="1"/>
  <c r="K468" i="10" a="1"/>
  <c r="K468" i="10" s="1"/>
  <c r="O456" i="10" a="1"/>
  <c r="O456" i="10" s="1"/>
  <c r="P456" i="10" a="1"/>
  <c r="P456" i="10" s="1"/>
  <c r="L456" i="10" a="1"/>
  <c r="L456" i="10" s="1"/>
  <c r="K456" i="10" a="1"/>
  <c r="K456" i="10" s="1"/>
  <c r="O432" i="10" a="1"/>
  <c r="O432" i="10" s="1"/>
  <c r="P432" i="10" a="1"/>
  <c r="P432" i="10" s="1"/>
  <c r="L432" i="10" a="1"/>
  <c r="L432" i="10" s="1"/>
  <c r="K432" i="10" a="1"/>
  <c r="K432" i="10" s="1"/>
  <c r="O420" i="10" a="1"/>
  <c r="O420" i="10" s="1"/>
  <c r="P420" i="10" a="1"/>
  <c r="P420" i="10" s="1"/>
  <c r="L420" i="10" a="1"/>
  <c r="L420" i="10" s="1"/>
  <c r="K420" i="10" a="1"/>
  <c r="K420" i="10" s="1"/>
  <c r="O408" i="10" a="1"/>
  <c r="O408" i="10" s="1"/>
  <c r="P408" i="10" a="1"/>
  <c r="P408" i="10" s="1"/>
  <c r="L408" i="10" a="1"/>
  <c r="L408" i="10" s="1"/>
  <c r="K408" i="10" a="1"/>
  <c r="K408" i="10" s="1"/>
  <c r="O479" i="10" a="1"/>
  <c r="O479" i="10" s="1"/>
  <c r="P479" i="10" a="1"/>
  <c r="P479" i="10" s="1"/>
  <c r="L479" i="10" a="1"/>
  <c r="L479" i="10" s="1"/>
  <c r="K479" i="10" a="1"/>
  <c r="K479" i="10" s="1"/>
  <c r="O455" i="10" a="1"/>
  <c r="O455" i="10" s="1"/>
  <c r="P455" i="10" a="1"/>
  <c r="P455" i="10" s="1"/>
  <c r="L455" i="10" a="1"/>
  <c r="L455" i="10" s="1"/>
  <c r="K455" i="10" a="1"/>
  <c r="K455" i="10" s="1"/>
  <c r="O443" i="10" a="1"/>
  <c r="O443" i="10" s="1"/>
  <c r="P443" i="10" a="1"/>
  <c r="P443" i="10" s="1"/>
  <c r="L443" i="10" a="1"/>
  <c r="L443" i="10" s="1"/>
  <c r="K443" i="10" a="1"/>
  <c r="K443" i="10" s="1"/>
  <c r="K419" i="10" a="1"/>
  <c r="K419" i="10" s="1"/>
  <c r="O419" i="10" a="1"/>
  <c r="O419" i="10" s="1"/>
  <c r="P419" i="10" a="1"/>
  <c r="P419" i="10" s="1"/>
  <c r="L419" i="10" a="1"/>
  <c r="L419" i="10" s="1"/>
  <c r="K395" i="10" a="1"/>
  <c r="K395" i="10" s="1"/>
  <c r="O395" i="10" a="1"/>
  <c r="O395" i="10" s="1"/>
  <c r="P395" i="10" a="1"/>
  <c r="P395" i="10" s="1"/>
  <c r="L395" i="10" a="1"/>
  <c r="L395" i="10" s="1"/>
  <c r="K478" i="10" a="1"/>
  <c r="K478" i="10" s="1"/>
  <c r="O478" i="10" a="1"/>
  <c r="O478" i="10" s="1"/>
  <c r="P478" i="10" a="1"/>
  <c r="P478" i="10" s="1"/>
  <c r="L478" i="10" a="1"/>
  <c r="L478" i="10" s="1"/>
  <c r="O454" i="10" a="1"/>
  <c r="O454" i="10" s="1"/>
  <c r="P454" i="10" a="1"/>
  <c r="P454" i="10" s="1"/>
  <c r="L454" i="10" a="1"/>
  <c r="L454" i="10" s="1"/>
  <c r="K454" i="10" a="1"/>
  <c r="K454" i="10" s="1"/>
  <c r="K442" i="10" a="1"/>
  <c r="K442" i="10" s="1"/>
  <c r="O442" i="10" a="1"/>
  <c r="O442" i="10" s="1"/>
  <c r="P442" i="10" a="1"/>
  <c r="P442" i="10" s="1"/>
  <c r="L442" i="10" a="1"/>
  <c r="L442" i="10" s="1"/>
  <c r="K418" i="10" a="1"/>
  <c r="K418" i="10" s="1"/>
  <c r="O418" i="10" a="1"/>
  <c r="O418" i="10" s="1"/>
  <c r="P418" i="10" a="1"/>
  <c r="P418" i="10" s="1"/>
  <c r="L418" i="10" a="1"/>
  <c r="L418" i="10" s="1"/>
  <c r="O394" i="10" a="1"/>
  <c r="O394" i="10" s="1"/>
  <c r="P394" i="10" a="1"/>
  <c r="P394" i="10" s="1"/>
  <c r="L394" i="10" a="1"/>
  <c r="L394" i="10" s="1"/>
  <c r="K394" i="10" a="1"/>
  <c r="K394" i="10" s="1"/>
  <c r="O477" i="10" a="1"/>
  <c r="O477" i="10" s="1"/>
  <c r="P477" i="10" a="1"/>
  <c r="P477" i="10" s="1"/>
  <c r="L477" i="10" a="1"/>
  <c r="L477" i="10" s="1"/>
  <c r="K477" i="10" a="1"/>
  <c r="K477" i="10" s="1"/>
  <c r="K465" i="10" a="1"/>
  <c r="K465" i="10" s="1"/>
  <c r="O465" i="10" a="1"/>
  <c r="O465" i="10" s="1"/>
  <c r="P465" i="10" a="1"/>
  <c r="P465" i="10" s="1"/>
  <c r="L465" i="10" a="1"/>
  <c r="L465" i="10" s="1"/>
  <c r="K453" i="10" a="1"/>
  <c r="K453" i="10" s="1"/>
  <c r="O453" i="10" a="1"/>
  <c r="O453" i="10" s="1"/>
  <c r="P453" i="10" a="1"/>
  <c r="P453" i="10" s="1"/>
  <c r="L453" i="10" a="1"/>
  <c r="L453" i="10" s="1"/>
  <c r="K441" i="10" a="1"/>
  <c r="K441" i="10" s="1"/>
  <c r="O441" i="10" a="1"/>
  <c r="O441" i="10" s="1"/>
  <c r="P441" i="10" a="1"/>
  <c r="P441" i="10" s="1"/>
  <c r="L441" i="10" a="1"/>
  <c r="L441" i="10" s="1"/>
  <c r="O429" i="10" a="1"/>
  <c r="O429" i="10" s="1"/>
  <c r="P429" i="10" a="1"/>
  <c r="P429" i="10" s="1"/>
  <c r="L429" i="10" a="1"/>
  <c r="L429" i="10" s="1"/>
  <c r="K429" i="10" a="1"/>
  <c r="K429" i="10" s="1"/>
  <c r="O417" i="10" a="1"/>
  <c r="O417" i="10" s="1"/>
  <c r="P417" i="10" a="1"/>
  <c r="P417" i="10" s="1"/>
  <c r="L417" i="10" a="1"/>
  <c r="L417" i="10" s="1"/>
  <c r="K417" i="10" a="1"/>
  <c r="K417" i="10" s="1"/>
  <c r="K405" i="10" a="1"/>
  <c r="K405" i="10" s="1"/>
  <c r="O405" i="10" a="1"/>
  <c r="O405" i="10" s="1"/>
  <c r="P405" i="10" a="1"/>
  <c r="P405" i="10" s="1"/>
  <c r="L405" i="10" a="1"/>
  <c r="L405" i="10" s="1"/>
  <c r="O393" i="10" a="1"/>
  <c r="O393" i="10" s="1"/>
  <c r="P393" i="10" a="1"/>
  <c r="P393" i="10" s="1"/>
  <c r="L393" i="10" a="1"/>
  <c r="L393" i="10" s="1"/>
  <c r="K393" i="10" a="1"/>
  <c r="K393" i="10" s="1"/>
  <c r="O476" i="10" a="1"/>
  <c r="O476" i="10" s="1"/>
  <c r="P476" i="10" a="1"/>
  <c r="P476" i="10" s="1"/>
  <c r="L476" i="10" a="1"/>
  <c r="L476" i="10" s="1"/>
  <c r="K476" i="10" a="1"/>
  <c r="K476" i="10" s="1"/>
  <c r="O464" i="10" a="1"/>
  <c r="O464" i="10" s="1"/>
  <c r="P464" i="10" a="1"/>
  <c r="P464" i="10" s="1"/>
  <c r="L464" i="10" a="1"/>
  <c r="L464" i="10" s="1"/>
  <c r="K464" i="10" a="1"/>
  <c r="K464" i="10" s="1"/>
  <c r="O452" i="10" a="1"/>
  <c r="O452" i="10" s="1"/>
  <c r="P452" i="10" a="1"/>
  <c r="P452" i="10" s="1"/>
  <c r="L452" i="10" a="1"/>
  <c r="L452" i="10" s="1"/>
  <c r="K452" i="10" a="1"/>
  <c r="K452" i="10" s="1"/>
  <c r="O440" i="10" a="1"/>
  <c r="O440" i="10" s="1"/>
  <c r="P440" i="10" a="1"/>
  <c r="P440" i="10" s="1"/>
  <c r="L440" i="10" a="1"/>
  <c r="L440" i="10" s="1"/>
  <c r="K440" i="10" a="1"/>
  <c r="K440" i="10" s="1"/>
  <c r="O428" i="10" a="1"/>
  <c r="O428" i="10" s="1"/>
  <c r="P428" i="10" a="1"/>
  <c r="P428" i="10" s="1"/>
  <c r="L428" i="10" a="1"/>
  <c r="L428" i="10" s="1"/>
  <c r="K428" i="10" a="1"/>
  <c r="K428" i="10" s="1"/>
  <c r="O416" i="10" a="1"/>
  <c r="O416" i="10" s="1"/>
  <c r="P416" i="10" a="1"/>
  <c r="P416" i="10" s="1"/>
  <c r="L416" i="10" a="1"/>
  <c r="L416" i="10" s="1"/>
  <c r="K416" i="10" a="1"/>
  <c r="K416" i="10" s="1"/>
  <c r="O404" i="10" a="1"/>
  <c r="O404" i="10" s="1"/>
  <c r="P404" i="10" a="1"/>
  <c r="P404" i="10" s="1"/>
  <c r="L404" i="10" a="1"/>
  <c r="L404" i="10" s="1"/>
  <c r="K404" i="10" a="1"/>
  <c r="K404" i="10" s="1"/>
  <c r="K392" i="10" a="1"/>
  <c r="K392" i="10" s="1"/>
  <c r="O392" i="10" a="1"/>
  <c r="O392" i="10" s="1"/>
  <c r="P392" i="10" a="1"/>
  <c r="P392" i="10" s="1"/>
  <c r="L392" i="10" a="1"/>
  <c r="L392" i="10" s="1"/>
  <c r="S388" i="10" a="1"/>
  <c r="S388" i="10" s="1"/>
  <c r="Z390" i="10" a="1"/>
  <c r="Z390" i="10" s="1"/>
  <c r="S396" i="10" a="1"/>
  <c r="S396" i="10" s="1"/>
  <c r="S412" i="10" a="1"/>
  <c r="S412" i="10" s="1"/>
  <c r="S420" i="10" a="1"/>
  <c r="S420" i="10" s="1"/>
  <c r="U396" i="10" a="1"/>
  <c r="U396" i="10" s="1"/>
  <c r="V420" i="10" a="1"/>
  <c r="V420" i="10" s="1"/>
  <c r="S398" i="10" a="1"/>
  <c r="S398" i="10" s="1"/>
  <c r="S422" i="10" a="1"/>
  <c r="S422" i="10" s="1"/>
  <c r="S446" i="10" a="1"/>
  <c r="S446" i="10" s="1"/>
  <c r="S470" i="10" a="1"/>
  <c r="S470" i="10" s="1"/>
  <c r="U398" i="10" a="1"/>
  <c r="U398" i="10" s="1"/>
  <c r="V416" i="10" a="1"/>
  <c r="V416" i="10" s="1"/>
  <c r="V424" i="10" a="1"/>
  <c r="V424" i="10" s="1"/>
  <c r="Y386" i="10" a="1"/>
  <c r="Y386" i="10" s="1"/>
  <c r="X389" i="10" a="1"/>
  <c r="X389" i="10" s="1"/>
  <c r="X410" i="10" a="1"/>
  <c r="X410" i="10" s="1"/>
  <c r="X413" i="10" a="1"/>
  <c r="X413" i="10" s="1"/>
  <c r="X416" i="10" a="1"/>
  <c r="X416" i="10" s="1"/>
  <c r="X419" i="10" a="1"/>
  <c r="X419" i="10" s="1"/>
  <c r="X422" i="10" a="1"/>
  <c r="X422" i="10" s="1"/>
  <c r="X425" i="10" a="1"/>
  <c r="X425" i="10" s="1"/>
  <c r="X428" i="10" a="1"/>
  <c r="X428" i="10" s="1"/>
  <c r="X431" i="10" a="1"/>
  <c r="X431" i="10" s="1"/>
  <c r="X434" i="10" a="1"/>
  <c r="X434" i="10" s="1"/>
  <c r="X437" i="10" a="1"/>
  <c r="X437" i="10" s="1"/>
  <c r="X440" i="10" a="1"/>
  <c r="X440" i="10" s="1"/>
  <c r="X443" i="10" a="1"/>
  <c r="X443" i="10" s="1"/>
  <c r="X446" i="10" a="1"/>
  <c r="X446" i="10" s="1"/>
  <c r="X449" i="10" a="1"/>
  <c r="X449" i="10" s="1"/>
  <c r="X452" i="10" a="1"/>
  <c r="X452" i="10" s="1"/>
  <c r="X455" i="10" a="1"/>
  <c r="X455" i="10" s="1"/>
  <c r="X458" i="10" a="1"/>
  <c r="X458" i="10" s="1"/>
  <c r="X461" i="10" a="1"/>
  <c r="X461" i="10" s="1"/>
  <c r="X464" i="10" a="1"/>
  <c r="X464" i="10" s="1"/>
  <c r="X467" i="10" a="1"/>
  <c r="X467" i="10" s="1"/>
  <c r="X470" i="10" a="1"/>
  <c r="X470" i="10" s="1"/>
  <c r="X473" i="10" a="1"/>
  <c r="X473" i="10" s="1"/>
  <c r="X476" i="10" a="1"/>
  <c r="X476" i="10" s="1"/>
  <c r="X479" i="10" a="1"/>
  <c r="X479" i="10" s="1"/>
  <c r="S400" i="10" a="1"/>
  <c r="S400" i="10" s="1"/>
  <c r="S424" i="10" a="1"/>
  <c r="S424" i="10" s="1"/>
  <c r="S448" i="10" a="1"/>
  <c r="S448" i="10" s="1"/>
  <c r="S472" i="10" a="1"/>
  <c r="S472" i="10" s="1"/>
  <c r="U400" i="10" a="1"/>
  <c r="U400" i="10" s="1"/>
  <c r="T418" i="10" a="1"/>
  <c r="T418" i="10" s="1"/>
  <c r="T426" i="10" a="1"/>
  <c r="T426" i="10" s="1"/>
  <c r="Z386" i="10" a="1"/>
  <c r="Z386" i="10" s="1"/>
  <c r="Y389" i="10" a="1"/>
  <c r="Y389" i="10" s="1"/>
  <c r="Y410" i="10" a="1"/>
  <c r="Y410" i="10" s="1"/>
  <c r="Y413" i="10" a="1"/>
  <c r="Y413" i="10" s="1"/>
  <c r="Y416" i="10" a="1"/>
  <c r="Y416" i="10" s="1"/>
  <c r="Y419" i="10" a="1"/>
  <c r="Y419" i="10" s="1"/>
  <c r="Y422" i="10" a="1"/>
  <c r="Y422" i="10" s="1"/>
  <c r="Y425" i="10" a="1"/>
  <c r="Y425" i="10" s="1"/>
  <c r="Y428" i="10" a="1"/>
  <c r="Y428" i="10" s="1"/>
  <c r="Y431" i="10" a="1"/>
  <c r="Y431" i="10" s="1"/>
  <c r="Y434" i="10" a="1"/>
  <c r="Y434" i="10" s="1"/>
  <c r="Y437" i="10" a="1"/>
  <c r="Y437" i="10" s="1"/>
  <c r="Y440" i="10" a="1"/>
  <c r="Y440" i="10" s="1"/>
  <c r="Y443" i="10" a="1"/>
  <c r="Y443" i="10" s="1"/>
  <c r="Y446" i="10" a="1"/>
  <c r="Y446" i="10" s="1"/>
  <c r="Y449" i="10" a="1"/>
  <c r="Y449" i="10" s="1"/>
  <c r="Y452" i="10" a="1"/>
  <c r="Y452" i="10" s="1"/>
  <c r="Y455" i="10" a="1"/>
  <c r="Y455" i="10" s="1"/>
  <c r="Y458" i="10" a="1"/>
  <c r="Y458" i="10" s="1"/>
  <c r="Y461" i="10" a="1"/>
  <c r="Y461" i="10" s="1"/>
  <c r="Y464" i="10" a="1"/>
  <c r="Y464" i="10" s="1"/>
  <c r="Y467" i="10" a="1"/>
  <c r="Y467" i="10" s="1"/>
  <c r="Y470" i="10" a="1"/>
  <c r="Y470" i="10" s="1"/>
  <c r="Y473" i="10" a="1"/>
  <c r="Y473" i="10" s="1"/>
  <c r="Y476" i="10" a="1"/>
  <c r="Y476" i="10" s="1"/>
  <c r="Y479" i="10" a="1"/>
  <c r="Y479" i="10" s="1"/>
  <c r="S402" i="10" a="1"/>
  <c r="S402" i="10" s="1"/>
  <c r="S426" i="10" a="1"/>
  <c r="S426" i="10" s="1"/>
  <c r="S450" i="10" a="1"/>
  <c r="S450" i="10" s="1"/>
  <c r="S474" i="10" a="1"/>
  <c r="S474" i="10" s="1"/>
  <c r="U402" i="10" a="1"/>
  <c r="U402" i="10" s="1"/>
  <c r="U418" i="10" a="1"/>
  <c r="U418" i="10" s="1"/>
  <c r="U426" i="10" a="1"/>
  <c r="U426" i="10" s="1"/>
  <c r="X386" i="10" a="1"/>
  <c r="X386" i="10" s="1"/>
  <c r="Z389" i="10" a="1"/>
  <c r="Z389" i="10" s="1"/>
  <c r="Z410" i="10" a="1"/>
  <c r="Z410" i="10" s="1"/>
  <c r="Z413" i="10" a="1"/>
  <c r="Z413" i="10" s="1"/>
  <c r="Z416" i="10" a="1"/>
  <c r="Z416" i="10" s="1"/>
  <c r="Z419" i="10" a="1"/>
  <c r="Z419" i="10" s="1"/>
  <c r="Z422" i="10" a="1"/>
  <c r="Z422" i="10" s="1"/>
  <c r="Z425" i="10" a="1"/>
  <c r="Z425" i="10" s="1"/>
  <c r="Z428" i="10" a="1"/>
  <c r="Z428" i="10" s="1"/>
  <c r="Z431" i="10" a="1"/>
  <c r="Z431" i="10" s="1"/>
  <c r="Z434" i="10" a="1"/>
  <c r="Z434" i="10" s="1"/>
  <c r="Z437" i="10" a="1"/>
  <c r="Z437" i="10" s="1"/>
  <c r="Z440" i="10" a="1"/>
  <c r="Z440" i="10" s="1"/>
  <c r="Z443" i="10" a="1"/>
  <c r="Z443" i="10" s="1"/>
  <c r="Z446" i="10" a="1"/>
  <c r="Z446" i="10" s="1"/>
  <c r="Z449" i="10" a="1"/>
  <c r="Z449" i="10" s="1"/>
  <c r="Z452" i="10" a="1"/>
  <c r="Z452" i="10" s="1"/>
  <c r="Z455" i="10" a="1"/>
  <c r="Z455" i="10" s="1"/>
  <c r="Z458" i="10" a="1"/>
  <c r="Z458" i="10" s="1"/>
  <c r="Z461" i="10" a="1"/>
  <c r="Z461" i="10" s="1"/>
  <c r="Z464" i="10" a="1"/>
  <c r="Z464" i="10" s="1"/>
  <c r="Z467" i="10" a="1"/>
  <c r="Z467" i="10" s="1"/>
  <c r="Z470" i="10" a="1"/>
  <c r="Z470" i="10" s="1"/>
  <c r="Z473" i="10" a="1"/>
  <c r="Z473" i="10" s="1"/>
  <c r="Z476" i="10" a="1"/>
  <c r="Z476" i="10" s="1"/>
  <c r="Z479" i="10" a="1"/>
  <c r="Z479" i="10" s="1"/>
  <c r="S404" i="10" a="1"/>
  <c r="S404" i="10" s="1"/>
  <c r="S428" i="10" a="1"/>
  <c r="S428" i="10" s="1"/>
  <c r="S452" i="10" a="1"/>
  <c r="S452" i="10" s="1"/>
  <c r="S476" i="10" a="1"/>
  <c r="S476" i="10" s="1"/>
  <c r="U404" i="10" a="1"/>
  <c r="U404" i="10" s="1"/>
  <c r="V418" i="10" a="1"/>
  <c r="V418" i="10" s="1"/>
  <c r="T428" i="10" a="1"/>
  <c r="T428" i="10" s="1"/>
  <c r="W387" i="10" a="1"/>
  <c r="W387" i="10" s="1"/>
  <c r="W390" i="10" a="1"/>
  <c r="W390" i="10" s="1"/>
  <c r="W411" i="10" a="1"/>
  <c r="W411" i="10" s="1"/>
  <c r="W414" i="10" a="1"/>
  <c r="W414" i="10" s="1"/>
  <c r="W417" i="10" a="1"/>
  <c r="W417" i="10" s="1"/>
  <c r="W420" i="10" a="1"/>
  <c r="W420" i="10" s="1"/>
  <c r="W423" i="10" a="1"/>
  <c r="W423" i="10" s="1"/>
  <c r="W426" i="10" a="1"/>
  <c r="W426" i="10" s="1"/>
  <c r="W429" i="10" a="1"/>
  <c r="W429" i="10" s="1"/>
  <c r="W432" i="10" a="1"/>
  <c r="W432" i="10" s="1"/>
  <c r="W435" i="10" a="1"/>
  <c r="W435" i="10" s="1"/>
  <c r="W438" i="10" a="1"/>
  <c r="W438" i="10" s="1"/>
  <c r="W441" i="10" a="1"/>
  <c r="W441" i="10" s="1"/>
  <c r="W444" i="10" a="1"/>
  <c r="W444" i="10" s="1"/>
  <c r="W447" i="10" a="1"/>
  <c r="W447" i="10" s="1"/>
  <c r="W450" i="10" a="1"/>
  <c r="W450" i="10" s="1"/>
  <c r="W453" i="10" a="1"/>
  <c r="W453" i="10" s="1"/>
  <c r="W456" i="10" a="1"/>
  <c r="W456" i="10" s="1"/>
  <c r="W459" i="10" a="1"/>
  <c r="W459" i="10" s="1"/>
  <c r="W462" i="10" a="1"/>
  <c r="W462" i="10" s="1"/>
  <c r="W465" i="10" a="1"/>
  <c r="W465" i="10" s="1"/>
  <c r="W468" i="10" a="1"/>
  <c r="W468" i="10" s="1"/>
  <c r="W471" i="10" a="1"/>
  <c r="W471" i="10" s="1"/>
  <c r="W474" i="10" a="1"/>
  <c r="W474" i="10" s="1"/>
  <c r="W477" i="10" a="1"/>
  <c r="W477" i="10" s="1"/>
  <c r="W480" i="10" a="1"/>
  <c r="W480" i="10" s="1"/>
  <c r="S406" i="10" a="1"/>
  <c r="S406" i="10" s="1"/>
  <c r="S430" i="10" a="1"/>
  <c r="S430" i="10" s="1"/>
  <c r="S454" i="10" a="1"/>
  <c r="S454" i="10" s="1"/>
  <c r="S478" i="10" a="1"/>
  <c r="S478" i="10" s="1"/>
  <c r="U406" i="10" a="1"/>
  <c r="U406" i="10" s="1"/>
  <c r="T420" i="10" a="1"/>
  <c r="T420" i="10" s="1"/>
  <c r="U428" i="10" a="1"/>
  <c r="U428" i="10" s="1"/>
  <c r="X387" i="10" a="1"/>
  <c r="X387" i="10" s="1"/>
  <c r="X390" i="10" a="1"/>
  <c r="X390" i="10" s="1"/>
  <c r="X411" i="10" a="1"/>
  <c r="X411" i="10" s="1"/>
  <c r="X414" i="10" a="1"/>
  <c r="X414" i="10" s="1"/>
  <c r="X417" i="10" a="1"/>
  <c r="X417" i="10" s="1"/>
  <c r="X420" i="10" a="1"/>
  <c r="X420" i="10" s="1"/>
  <c r="X423" i="10" a="1"/>
  <c r="X423" i="10" s="1"/>
  <c r="X426" i="10" a="1"/>
  <c r="X426" i="10" s="1"/>
  <c r="X429" i="10" a="1"/>
  <c r="X429" i="10" s="1"/>
  <c r="X432" i="10" a="1"/>
  <c r="X432" i="10" s="1"/>
  <c r="X435" i="10" a="1"/>
  <c r="X435" i="10" s="1"/>
  <c r="X438" i="10" a="1"/>
  <c r="X438" i="10" s="1"/>
  <c r="X441" i="10" a="1"/>
  <c r="X441" i="10" s="1"/>
  <c r="X444" i="10" a="1"/>
  <c r="X444" i="10" s="1"/>
  <c r="X447" i="10" a="1"/>
  <c r="X447" i="10" s="1"/>
  <c r="X450" i="10" a="1"/>
  <c r="X450" i="10" s="1"/>
  <c r="X453" i="10" a="1"/>
  <c r="X453" i="10" s="1"/>
  <c r="X456" i="10" a="1"/>
  <c r="X456" i="10" s="1"/>
  <c r="X459" i="10" a="1"/>
  <c r="X459" i="10" s="1"/>
  <c r="X462" i="10" a="1"/>
  <c r="X462" i="10" s="1"/>
  <c r="X465" i="10" a="1"/>
  <c r="X465" i="10" s="1"/>
  <c r="X468" i="10" a="1"/>
  <c r="X468" i="10" s="1"/>
  <c r="X471" i="10" a="1"/>
  <c r="X471" i="10" s="1"/>
  <c r="X474" i="10" a="1"/>
  <c r="X474" i="10" s="1"/>
  <c r="X477" i="10" a="1"/>
  <c r="X477" i="10" s="1"/>
  <c r="X480" i="10" a="1"/>
  <c r="X480" i="10" s="1"/>
  <c r="S408" i="10" a="1"/>
  <c r="S408" i="10" s="1"/>
  <c r="S432" i="10" a="1"/>
  <c r="S432" i="10" s="1"/>
  <c r="S456" i="10" a="1"/>
  <c r="S456" i="10" s="1"/>
  <c r="S480" i="10" a="1"/>
  <c r="S480" i="10" s="1"/>
  <c r="U408" i="10" a="1"/>
  <c r="U408" i="10" s="1"/>
  <c r="U420" i="10" a="1"/>
  <c r="U420" i="10" s="1"/>
  <c r="T430" i="10" a="1"/>
  <c r="T430" i="10" s="1"/>
  <c r="Y387" i="10" a="1"/>
  <c r="Y387" i="10" s="1"/>
  <c r="Y390" i="10" a="1"/>
  <c r="Y390" i="10" s="1"/>
  <c r="Y411" i="10" a="1"/>
  <c r="Y411" i="10" s="1"/>
  <c r="Y414" i="10" a="1"/>
  <c r="Y414" i="10" s="1"/>
  <c r="Y417" i="10" a="1"/>
  <c r="Y417" i="10" s="1"/>
  <c r="Y420" i="10" a="1"/>
  <c r="Y420" i="10" s="1"/>
  <c r="Y423" i="10" a="1"/>
  <c r="Y423" i="10" s="1"/>
  <c r="Y426" i="10" a="1"/>
  <c r="Y426" i="10" s="1"/>
  <c r="Y429" i="10" a="1"/>
  <c r="Y429" i="10" s="1"/>
  <c r="Y432" i="10" a="1"/>
  <c r="Y432" i="10" s="1"/>
  <c r="Y435" i="10" a="1"/>
  <c r="Y435" i="10" s="1"/>
  <c r="Y438" i="10" a="1"/>
  <c r="Y438" i="10" s="1"/>
  <c r="Y441" i="10" a="1"/>
  <c r="Y441" i="10" s="1"/>
  <c r="Y444" i="10" a="1"/>
  <c r="Y444" i="10" s="1"/>
  <c r="Y447" i="10" a="1"/>
  <c r="Y447" i="10" s="1"/>
  <c r="Y450" i="10" a="1"/>
  <c r="Y450" i="10" s="1"/>
  <c r="Y453" i="10" a="1"/>
  <c r="Y453" i="10" s="1"/>
  <c r="Y456" i="10" a="1"/>
  <c r="Y456" i="10" s="1"/>
  <c r="Y459" i="10" a="1"/>
  <c r="Y459" i="10" s="1"/>
  <c r="Y462" i="10" a="1"/>
  <c r="Y462" i="10" s="1"/>
  <c r="Y465" i="10" a="1"/>
  <c r="Y465" i="10" s="1"/>
  <c r="Y468" i="10" a="1"/>
  <c r="Y468" i="10" s="1"/>
  <c r="Y471" i="10" a="1"/>
  <c r="Y471" i="10" s="1"/>
  <c r="Y474" i="10" a="1"/>
  <c r="Y474" i="10" s="1"/>
  <c r="Y477" i="10" a="1"/>
  <c r="Y477" i="10" s="1"/>
  <c r="Y480" i="10" a="1"/>
  <c r="Y480" i="10" s="1"/>
  <c r="S410" i="10" a="1"/>
  <c r="S410" i="10" s="1"/>
  <c r="S434" i="10" a="1"/>
  <c r="S434" i="10" s="1"/>
  <c r="S458" i="10" a="1"/>
  <c r="S458" i="10" s="1"/>
  <c r="S386" i="10" a="1"/>
  <c r="S386" i="10" s="1"/>
  <c r="U410" i="10" a="1"/>
  <c r="U410" i="10" s="1"/>
  <c r="U430" i="10" a="1"/>
  <c r="U430" i="10" s="1"/>
  <c r="Z387" i="10" a="1"/>
  <c r="Z387" i="10" s="1"/>
  <c r="Z411" i="10" a="1"/>
  <c r="Z411" i="10" s="1"/>
  <c r="Z414" i="10" a="1"/>
  <c r="Z414" i="10" s="1"/>
  <c r="Z417" i="10" a="1"/>
  <c r="Z417" i="10" s="1"/>
  <c r="Z420" i="10" a="1"/>
  <c r="Z420" i="10" s="1"/>
  <c r="Z423" i="10" a="1"/>
  <c r="Z423" i="10" s="1"/>
  <c r="Z426" i="10" a="1"/>
  <c r="Z426" i="10" s="1"/>
  <c r="Z429" i="10" a="1"/>
  <c r="Z429" i="10" s="1"/>
  <c r="Z432" i="10" a="1"/>
  <c r="Z432" i="10" s="1"/>
  <c r="Z435" i="10" a="1"/>
  <c r="Z435" i="10" s="1"/>
  <c r="Z438" i="10" a="1"/>
  <c r="Z438" i="10" s="1"/>
  <c r="Z441" i="10" a="1"/>
  <c r="Z441" i="10" s="1"/>
  <c r="Z444" i="10" a="1"/>
  <c r="Z444" i="10" s="1"/>
  <c r="Z447" i="10" a="1"/>
  <c r="Z447" i="10" s="1"/>
  <c r="Z450" i="10" a="1"/>
  <c r="Z450" i="10" s="1"/>
  <c r="Z453" i="10" a="1"/>
  <c r="Z453" i="10" s="1"/>
  <c r="Z456" i="10" a="1"/>
  <c r="Z456" i="10" s="1"/>
  <c r="Z459" i="10" a="1"/>
  <c r="Z459" i="10" s="1"/>
  <c r="Z462" i="10" a="1"/>
  <c r="Z462" i="10" s="1"/>
  <c r="Z465" i="10" a="1"/>
  <c r="Z465" i="10" s="1"/>
  <c r="Z468" i="10" a="1"/>
  <c r="Z468" i="10" s="1"/>
  <c r="Z471" i="10" a="1"/>
  <c r="Z471" i="10" s="1"/>
  <c r="Z474" i="10" a="1"/>
  <c r="Z474" i="10" s="1"/>
  <c r="Z477" i="10" a="1"/>
  <c r="Z477" i="10" s="1"/>
  <c r="Z480" i="10" a="1"/>
  <c r="Z480" i="10" s="1"/>
  <c r="S436" i="10" a="1"/>
  <c r="S436" i="10" s="1"/>
  <c r="S460" i="10" a="1"/>
  <c r="S460" i="10" s="1"/>
  <c r="V410" i="10" a="1"/>
  <c r="V410" i="10" s="1"/>
  <c r="T422" i="10" a="1"/>
  <c r="T422" i="10" s="1"/>
  <c r="V430" i="10" a="1"/>
  <c r="V430" i="10" s="1"/>
  <c r="W388" i="10" a="1"/>
  <c r="W388" i="10" s="1"/>
  <c r="W391" i="10" a="1"/>
  <c r="W391" i="10" s="1"/>
  <c r="W412" i="10" a="1"/>
  <c r="W412" i="10" s="1"/>
  <c r="W415" i="10" a="1"/>
  <c r="W415" i="10" s="1"/>
  <c r="W418" i="10" a="1"/>
  <c r="W418" i="10" s="1"/>
  <c r="W421" i="10" a="1"/>
  <c r="W421" i="10" s="1"/>
  <c r="W424" i="10" a="1"/>
  <c r="W424" i="10" s="1"/>
  <c r="W427" i="10" a="1"/>
  <c r="W427" i="10" s="1"/>
  <c r="W430" i="10" a="1"/>
  <c r="W430" i="10" s="1"/>
  <c r="W433" i="10" a="1"/>
  <c r="W433" i="10" s="1"/>
  <c r="W436" i="10" a="1"/>
  <c r="W436" i="10" s="1"/>
  <c r="W439" i="10" a="1"/>
  <c r="W439" i="10" s="1"/>
  <c r="W442" i="10" a="1"/>
  <c r="W442" i="10" s="1"/>
  <c r="W445" i="10" a="1"/>
  <c r="W445" i="10" s="1"/>
  <c r="W448" i="10" a="1"/>
  <c r="W448" i="10" s="1"/>
  <c r="W451" i="10" a="1"/>
  <c r="W451" i="10" s="1"/>
  <c r="W454" i="10" a="1"/>
  <c r="W454" i="10" s="1"/>
  <c r="W457" i="10" a="1"/>
  <c r="W457" i="10" s="1"/>
  <c r="W460" i="10" a="1"/>
  <c r="W460" i="10" s="1"/>
  <c r="W463" i="10" a="1"/>
  <c r="W463" i="10" s="1"/>
  <c r="W466" i="10" a="1"/>
  <c r="W466" i="10" s="1"/>
  <c r="W469" i="10" a="1"/>
  <c r="W469" i="10" s="1"/>
  <c r="W472" i="10" a="1"/>
  <c r="W472" i="10" s="1"/>
  <c r="W475" i="10" a="1"/>
  <c r="W475" i="10" s="1"/>
  <c r="W478" i="10" a="1"/>
  <c r="W478" i="10" s="1"/>
  <c r="W481" i="10" a="1"/>
  <c r="W481" i="10" s="1"/>
  <c r="S390" i="10" a="1"/>
  <c r="S390" i="10" s="1"/>
  <c r="S414" i="10" a="1"/>
  <c r="S414" i="10" s="1"/>
  <c r="S438" i="10" a="1"/>
  <c r="S438" i="10" s="1"/>
  <c r="S462" i="10" a="1"/>
  <c r="S462" i="10" s="1"/>
  <c r="U390" i="10" a="1"/>
  <c r="U390" i="10" s="1"/>
  <c r="T412" i="10" a="1"/>
  <c r="T412" i="10" s="1"/>
  <c r="U422" i="10" a="1"/>
  <c r="U422" i="10" s="1"/>
  <c r="T432" i="10" a="1"/>
  <c r="T432" i="10" s="1"/>
  <c r="X388" i="10" a="1"/>
  <c r="X388" i="10" s="1"/>
  <c r="X391" i="10" a="1"/>
  <c r="X391" i="10" s="1"/>
  <c r="X412" i="10" a="1"/>
  <c r="X412" i="10" s="1"/>
  <c r="X415" i="10" a="1"/>
  <c r="X415" i="10" s="1"/>
  <c r="X418" i="10" a="1"/>
  <c r="X418" i="10" s="1"/>
  <c r="X421" i="10" a="1"/>
  <c r="X421" i="10" s="1"/>
  <c r="X424" i="10" a="1"/>
  <c r="X424" i="10" s="1"/>
  <c r="X427" i="10" a="1"/>
  <c r="X427" i="10" s="1"/>
  <c r="X430" i="10" a="1"/>
  <c r="X430" i="10" s="1"/>
  <c r="X433" i="10" a="1"/>
  <c r="X433" i="10" s="1"/>
  <c r="X436" i="10" a="1"/>
  <c r="X436" i="10" s="1"/>
  <c r="X439" i="10" a="1"/>
  <c r="X439" i="10" s="1"/>
  <c r="X442" i="10" a="1"/>
  <c r="X442" i="10" s="1"/>
  <c r="X445" i="10" a="1"/>
  <c r="X445" i="10" s="1"/>
  <c r="X448" i="10" a="1"/>
  <c r="X448" i="10" s="1"/>
  <c r="X451" i="10" a="1"/>
  <c r="X451" i="10" s="1"/>
  <c r="X454" i="10" a="1"/>
  <c r="X454" i="10" s="1"/>
  <c r="X457" i="10" a="1"/>
  <c r="X457" i="10" s="1"/>
  <c r="X460" i="10" a="1"/>
  <c r="X460" i="10" s="1"/>
  <c r="X463" i="10" a="1"/>
  <c r="X463" i="10" s="1"/>
  <c r="X466" i="10" a="1"/>
  <c r="X466" i="10" s="1"/>
  <c r="X469" i="10" a="1"/>
  <c r="X469" i="10" s="1"/>
  <c r="X472" i="10" a="1"/>
  <c r="X472" i="10" s="1"/>
  <c r="X475" i="10" a="1"/>
  <c r="X475" i="10" s="1"/>
  <c r="X478" i="10" a="1"/>
  <c r="X478" i="10" s="1"/>
  <c r="X481" i="10" a="1"/>
  <c r="X481" i="10" s="1"/>
  <c r="S392" i="10" a="1"/>
  <c r="S392" i="10" s="1"/>
  <c r="S416" i="10" a="1"/>
  <c r="S416" i="10" s="1"/>
  <c r="S440" i="10" a="1"/>
  <c r="S440" i="10" s="1"/>
  <c r="S464" i="10" a="1"/>
  <c r="S464" i="10" s="1"/>
  <c r="U392" i="10" a="1"/>
  <c r="U392" i="10" s="1"/>
  <c r="T414" i="10" a="1"/>
  <c r="T414" i="10" s="1"/>
  <c r="V422" i="10" a="1"/>
  <c r="V422" i="10" s="1"/>
  <c r="U432" i="10" a="1"/>
  <c r="U432" i="10" s="1"/>
  <c r="Y388" i="10" a="1"/>
  <c r="Y388" i="10" s="1"/>
  <c r="Y391" i="10" a="1"/>
  <c r="Y391" i="10" s="1"/>
  <c r="Y412" i="10" a="1"/>
  <c r="Y412" i="10" s="1"/>
  <c r="Y415" i="10" a="1"/>
  <c r="Y415" i="10" s="1"/>
  <c r="Y418" i="10" a="1"/>
  <c r="Y418" i="10" s="1"/>
  <c r="Y421" i="10" a="1"/>
  <c r="Y421" i="10" s="1"/>
  <c r="Y424" i="10" a="1"/>
  <c r="Y424" i="10" s="1"/>
  <c r="Y427" i="10" a="1"/>
  <c r="Y427" i="10" s="1"/>
  <c r="Y430" i="10" a="1"/>
  <c r="Y430" i="10" s="1"/>
  <c r="Y433" i="10" a="1"/>
  <c r="Y433" i="10" s="1"/>
  <c r="Y436" i="10" a="1"/>
  <c r="Y436" i="10" s="1"/>
  <c r="Y439" i="10" a="1"/>
  <c r="Y439" i="10" s="1"/>
  <c r="Y442" i="10" a="1"/>
  <c r="Y442" i="10" s="1"/>
  <c r="Y445" i="10" a="1"/>
  <c r="Y445" i="10" s="1"/>
  <c r="Y448" i="10" a="1"/>
  <c r="Y448" i="10" s="1"/>
  <c r="Y451" i="10" a="1"/>
  <c r="Y451" i="10" s="1"/>
  <c r="Y454" i="10" a="1"/>
  <c r="Y454" i="10" s="1"/>
  <c r="Y457" i="10" a="1"/>
  <c r="Y457" i="10" s="1"/>
  <c r="Y460" i="10" a="1"/>
  <c r="Y460" i="10" s="1"/>
  <c r="Y463" i="10" a="1"/>
  <c r="Y463" i="10" s="1"/>
  <c r="Y466" i="10" a="1"/>
  <c r="Y466" i="10" s="1"/>
  <c r="Y469" i="10" a="1"/>
  <c r="Y469" i="10" s="1"/>
  <c r="Y472" i="10" a="1"/>
  <c r="Y472" i="10" s="1"/>
  <c r="Y475" i="10" a="1"/>
  <c r="Y475" i="10" s="1"/>
  <c r="Y478" i="10" a="1"/>
  <c r="Y478" i="10" s="1"/>
  <c r="Y481" i="10" a="1"/>
  <c r="Y481" i="10" s="1"/>
  <c r="S394" i="10" a="1"/>
  <c r="S394" i="10" s="1"/>
  <c r="S418" i="10" a="1"/>
  <c r="S418" i="10" s="1"/>
  <c r="S442" i="10" a="1"/>
  <c r="S442" i="10" s="1"/>
  <c r="S466" i="10" a="1"/>
  <c r="S466" i="10" s="1"/>
  <c r="U394" i="10" a="1"/>
  <c r="U394" i="10" s="1"/>
  <c r="T416" i="10" a="1"/>
  <c r="T416" i="10" s="1"/>
  <c r="T424" i="10" a="1"/>
  <c r="T424" i="10" s="1"/>
  <c r="V432" i="10" a="1"/>
  <c r="V432" i="10" s="1"/>
  <c r="Z388" i="10" a="1"/>
  <c r="Z388" i="10" s="1"/>
  <c r="Z391" i="10" a="1"/>
  <c r="Z391" i="10" s="1"/>
  <c r="Z412" i="10" a="1"/>
  <c r="Z412" i="10" s="1"/>
  <c r="Z415" i="10" a="1"/>
  <c r="Z415" i="10" s="1"/>
  <c r="Z418" i="10" a="1"/>
  <c r="Z418" i="10" s="1"/>
  <c r="Z421" i="10" a="1"/>
  <c r="Z421" i="10" s="1"/>
  <c r="Z424" i="10" a="1"/>
  <c r="Z424" i="10" s="1"/>
  <c r="Z427" i="10" a="1"/>
  <c r="Z427" i="10" s="1"/>
  <c r="Z430" i="10" a="1"/>
  <c r="Z430" i="10" s="1"/>
  <c r="Z433" i="10" a="1"/>
  <c r="Z433" i="10" s="1"/>
  <c r="Z436" i="10" a="1"/>
  <c r="Z436" i="10" s="1"/>
  <c r="Z439" i="10" a="1"/>
  <c r="Z439" i="10" s="1"/>
  <c r="Z442" i="10" a="1"/>
  <c r="Z442" i="10" s="1"/>
  <c r="Z445" i="10" a="1"/>
  <c r="Z445" i="10" s="1"/>
  <c r="Z448" i="10" a="1"/>
  <c r="Z448" i="10" s="1"/>
  <c r="Z451" i="10" a="1"/>
  <c r="Z451" i="10" s="1"/>
  <c r="Z454" i="10" a="1"/>
  <c r="Z454" i="10" s="1"/>
  <c r="Z457" i="10" a="1"/>
  <c r="Z457" i="10" s="1"/>
  <c r="Z460" i="10" a="1"/>
  <c r="Z460" i="10" s="1"/>
  <c r="Z463" i="10" a="1"/>
  <c r="Z463" i="10" s="1"/>
  <c r="Z466" i="10" a="1"/>
  <c r="Z466" i="10" s="1"/>
  <c r="Z469" i="10" a="1"/>
  <c r="Z469" i="10" s="1"/>
  <c r="Z472" i="10" a="1"/>
  <c r="Z472" i="10" s="1"/>
  <c r="Z475" i="10" a="1"/>
  <c r="Z475" i="10" s="1"/>
  <c r="Z478" i="10" a="1"/>
  <c r="Z478" i="10" s="1"/>
  <c r="Z481" i="10" a="1"/>
  <c r="Z481" i="10" s="1"/>
  <c r="S444" i="10" a="1"/>
  <c r="S444" i="10" s="1"/>
  <c r="S468" i="10" a="1"/>
  <c r="S468" i="10" s="1"/>
  <c r="U416" i="10" a="1"/>
  <c r="U416" i="10" s="1"/>
  <c r="U424" i="10" a="1"/>
  <c r="U424" i="10" s="1"/>
  <c r="U386" i="10" a="1"/>
  <c r="U386" i="10" s="1"/>
  <c r="W389" i="10" a="1"/>
  <c r="W389" i="10" s="1"/>
  <c r="W410" i="10" a="1"/>
  <c r="W410" i="10" s="1"/>
  <c r="W413" i="10" a="1"/>
  <c r="W413" i="10" s="1"/>
  <c r="W416" i="10" a="1"/>
  <c r="W416" i="10" s="1"/>
  <c r="W419" i="10" a="1"/>
  <c r="W419" i="10" s="1"/>
  <c r="W422" i="10" a="1"/>
  <c r="W422" i="10" s="1"/>
  <c r="W425" i="10" a="1"/>
  <c r="W425" i="10" s="1"/>
  <c r="W428" i="10" a="1"/>
  <c r="W428" i="10" s="1"/>
  <c r="W431" i="10" a="1"/>
  <c r="W431" i="10" s="1"/>
  <c r="W434" i="10" a="1"/>
  <c r="W434" i="10" s="1"/>
  <c r="W437" i="10" a="1"/>
  <c r="W437" i="10" s="1"/>
  <c r="W440" i="10" a="1"/>
  <c r="W440" i="10" s="1"/>
  <c r="W443" i="10" a="1"/>
  <c r="W443" i="10" s="1"/>
  <c r="W446" i="10" a="1"/>
  <c r="W446" i="10" s="1"/>
  <c r="W449" i="10" a="1"/>
  <c r="W449" i="10" s="1"/>
  <c r="W452" i="10" a="1"/>
  <c r="W452" i="10" s="1"/>
  <c r="W455" i="10" a="1"/>
  <c r="W455" i="10" s="1"/>
  <c r="W458" i="10" a="1"/>
  <c r="W458" i="10" s="1"/>
  <c r="W461" i="10" a="1"/>
  <c r="W461" i="10" s="1"/>
  <c r="W464" i="10" a="1"/>
  <c r="W464" i="10" s="1"/>
  <c r="W467" i="10" a="1"/>
  <c r="W467" i="10" s="1"/>
  <c r="W470" i="10" a="1"/>
  <c r="W470" i="10" s="1"/>
  <c r="W473" i="10" a="1"/>
  <c r="W473" i="10" s="1"/>
  <c r="W476" i="10" a="1"/>
  <c r="W476" i="10" s="1"/>
  <c r="W479" i="10" a="1"/>
  <c r="W479" i="10" s="1"/>
  <c r="W386" i="10" a="1"/>
  <c r="W386" i="10" s="1"/>
  <c r="T387" i="10" a="1"/>
  <c r="T387" i="10" s="1"/>
  <c r="T395" i="10" a="1"/>
  <c r="T395" i="10" s="1"/>
  <c r="T403" i="10" a="1"/>
  <c r="T403" i="10" s="1"/>
  <c r="T407" i="10" a="1"/>
  <c r="T407" i="10" s="1"/>
  <c r="V413" i="10" a="1"/>
  <c r="V413" i="10" s="1"/>
  <c r="T434" i="10" a="1"/>
  <c r="T434" i="10" s="1"/>
  <c r="T436" i="10" a="1"/>
  <c r="T436" i="10" s="1"/>
  <c r="T438" i="10" a="1"/>
  <c r="T438" i="10" s="1"/>
  <c r="T440" i="10" a="1"/>
  <c r="T440" i="10" s="1"/>
  <c r="T442" i="10" a="1"/>
  <c r="T442" i="10" s="1"/>
  <c r="T444" i="10" a="1"/>
  <c r="T444" i="10" s="1"/>
  <c r="T446" i="10" a="1"/>
  <c r="T446" i="10" s="1"/>
  <c r="T448" i="10" a="1"/>
  <c r="T448" i="10" s="1"/>
  <c r="T450" i="10" a="1"/>
  <c r="T450" i="10" s="1"/>
  <c r="T452" i="10" a="1"/>
  <c r="T452" i="10" s="1"/>
  <c r="T454" i="10" a="1"/>
  <c r="T454" i="10" s="1"/>
  <c r="T456" i="10" a="1"/>
  <c r="T456" i="10" s="1"/>
  <c r="T458" i="10" a="1"/>
  <c r="T458" i="10" s="1"/>
  <c r="T460" i="10" a="1"/>
  <c r="T460" i="10" s="1"/>
  <c r="T462" i="10" a="1"/>
  <c r="T462" i="10" s="1"/>
  <c r="T464" i="10" a="1"/>
  <c r="T464" i="10" s="1"/>
  <c r="T466" i="10" a="1"/>
  <c r="T466" i="10" s="1"/>
  <c r="T468" i="10" a="1"/>
  <c r="T468" i="10" s="1"/>
  <c r="T470" i="10" a="1"/>
  <c r="T470" i="10" s="1"/>
  <c r="T472" i="10" a="1"/>
  <c r="T472" i="10" s="1"/>
  <c r="T474" i="10" a="1"/>
  <c r="T474" i="10" s="1"/>
  <c r="T476" i="10" a="1"/>
  <c r="T476" i="10" s="1"/>
  <c r="T478" i="10" a="1"/>
  <c r="T478" i="10" s="1"/>
  <c r="T480" i="10" a="1"/>
  <c r="T480" i="10" s="1"/>
  <c r="T391" i="10" a="1"/>
  <c r="T391" i="10" s="1"/>
  <c r="T399" i="10" a="1"/>
  <c r="T399" i="10" s="1"/>
  <c r="S391" i="10" a="1"/>
  <c r="S391" i="10" s="1"/>
  <c r="S403" i="10" a="1"/>
  <c r="S403" i="10" s="1"/>
  <c r="S415" i="10" a="1"/>
  <c r="S415" i="10" s="1"/>
  <c r="S427" i="10" a="1"/>
  <c r="S427" i="10" s="1"/>
  <c r="S439" i="10" a="1"/>
  <c r="S439" i="10" s="1"/>
  <c r="S451" i="10" a="1"/>
  <c r="S451" i="10" s="1"/>
  <c r="S463" i="10" a="1"/>
  <c r="S463" i="10" s="1"/>
  <c r="S475" i="10" a="1"/>
  <c r="S475" i="10" s="1"/>
  <c r="U387" i="10" a="1"/>
  <c r="U387" i="10" s="1"/>
  <c r="U391" i="10" a="1"/>
  <c r="U391" i="10" s="1"/>
  <c r="U395" i="10" a="1"/>
  <c r="U395" i="10" s="1"/>
  <c r="U399" i="10" a="1"/>
  <c r="U399" i="10" s="1"/>
  <c r="U403" i="10" a="1"/>
  <c r="U403" i="10" s="1"/>
  <c r="U407" i="10" a="1"/>
  <c r="U407" i="10" s="1"/>
  <c r="T411" i="10" a="1"/>
  <c r="T411" i="10" s="1"/>
  <c r="V387" i="10" a="1"/>
  <c r="V387" i="10" s="1"/>
  <c r="V391" i="10" a="1"/>
  <c r="V391" i="10" s="1"/>
  <c r="V395" i="10" a="1"/>
  <c r="V395" i="10" s="1"/>
  <c r="V399" i="10" a="1"/>
  <c r="V399" i="10" s="1"/>
  <c r="V403" i="10" a="1"/>
  <c r="V403" i="10" s="1"/>
  <c r="V407" i="10" a="1"/>
  <c r="V407" i="10" s="1"/>
  <c r="U411" i="10" a="1"/>
  <c r="U411" i="10" s="1"/>
  <c r="U434" i="10" a="1"/>
  <c r="U434" i="10" s="1"/>
  <c r="U436" i="10" a="1"/>
  <c r="U436" i="10" s="1"/>
  <c r="U438" i="10" a="1"/>
  <c r="U438" i="10" s="1"/>
  <c r="U440" i="10" a="1"/>
  <c r="U440" i="10" s="1"/>
  <c r="U442" i="10" a="1"/>
  <c r="U442" i="10" s="1"/>
  <c r="U444" i="10" a="1"/>
  <c r="U444" i="10" s="1"/>
  <c r="U446" i="10" a="1"/>
  <c r="U446" i="10" s="1"/>
  <c r="U448" i="10" a="1"/>
  <c r="U448" i="10" s="1"/>
  <c r="U450" i="10" a="1"/>
  <c r="U450" i="10" s="1"/>
  <c r="U452" i="10" a="1"/>
  <c r="U452" i="10" s="1"/>
  <c r="U454" i="10" a="1"/>
  <c r="U454" i="10" s="1"/>
  <c r="U456" i="10" a="1"/>
  <c r="U456" i="10" s="1"/>
  <c r="U458" i="10" a="1"/>
  <c r="U458" i="10" s="1"/>
  <c r="U460" i="10" a="1"/>
  <c r="U460" i="10" s="1"/>
  <c r="U462" i="10" a="1"/>
  <c r="U462" i="10" s="1"/>
  <c r="U464" i="10" a="1"/>
  <c r="U464" i="10" s="1"/>
  <c r="U466" i="10" a="1"/>
  <c r="U466" i="10" s="1"/>
  <c r="U468" i="10" a="1"/>
  <c r="U468" i="10" s="1"/>
  <c r="U470" i="10" a="1"/>
  <c r="U470" i="10" s="1"/>
  <c r="U472" i="10" a="1"/>
  <c r="U472" i="10" s="1"/>
  <c r="U474" i="10" a="1"/>
  <c r="U474" i="10" s="1"/>
  <c r="U476" i="10" a="1"/>
  <c r="U476" i="10" s="1"/>
  <c r="U478" i="10" a="1"/>
  <c r="U478" i="10" s="1"/>
  <c r="U480" i="10" a="1"/>
  <c r="U480" i="10" s="1"/>
  <c r="S393" i="10" a="1"/>
  <c r="S393" i="10" s="1"/>
  <c r="S405" i="10" a="1"/>
  <c r="S405" i="10" s="1"/>
  <c r="S417" i="10" a="1"/>
  <c r="S417" i="10" s="1"/>
  <c r="S429" i="10" a="1"/>
  <c r="S429" i="10" s="1"/>
  <c r="S441" i="10" a="1"/>
  <c r="S441" i="10" s="1"/>
  <c r="S453" i="10" a="1"/>
  <c r="S453" i="10" s="1"/>
  <c r="S465" i="10" a="1"/>
  <c r="S465" i="10" s="1"/>
  <c r="S477" i="10" a="1"/>
  <c r="S477" i="10" s="1"/>
  <c r="T388" i="10" a="1"/>
  <c r="T388" i="10" s="1"/>
  <c r="T392" i="10" a="1"/>
  <c r="T392" i="10" s="1"/>
  <c r="T396" i="10" a="1"/>
  <c r="T396" i="10" s="1"/>
  <c r="T400" i="10" a="1"/>
  <c r="T400" i="10" s="1"/>
  <c r="T404" i="10" a="1"/>
  <c r="T404" i="10" s="1"/>
  <c r="T408" i="10" a="1"/>
  <c r="T408" i="10" s="1"/>
  <c r="V411" i="10" a="1"/>
  <c r="V411" i="10" s="1"/>
  <c r="U414" i="10" a="1"/>
  <c r="U414" i="10" s="1"/>
  <c r="V426" i="10" a="1"/>
  <c r="V426" i="10" s="1"/>
  <c r="V428" i="10" a="1"/>
  <c r="V428" i="10" s="1"/>
  <c r="V434" i="10" a="1"/>
  <c r="V434" i="10" s="1"/>
  <c r="V436" i="10" a="1"/>
  <c r="V436" i="10" s="1"/>
  <c r="V438" i="10" a="1"/>
  <c r="V438" i="10" s="1"/>
  <c r="V440" i="10" a="1"/>
  <c r="V440" i="10" s="1"/>
  <c r="V442" i="10" a="1"/>
  <c r="V442" i="10" s="1"/>
  <c r="V444" i="10" a="1"/>
  <c r="V444" i="10" s="1"/>
  <c r="V446" i="10" a="1"/>
  <c r="V446" i="10" s="1"/>
  <c r="V448" i="10" a="1"/>
  <c r="V448" i="10" s="1"/>
  <c r="V450" i="10" a="1"/>
  <c r="V450" i="10" s="1"/>
  <c r="V452" i="10" a="1"/>
  <c r="V452" i="10" s="1"/>
  <c r="V454" i="10" a="1"/>
  <c r="V454" i="10" s="1"/>
  <c r="V456" i="10" a="1"/>
  <c r="V456" i="10" s="1"/>
  <c r="V458" i="10" a="1"/>
  <c r="V458" i="10" s="1"/>
  <c r="V460" i="10" a="1"/>
  <c r="V460" i="10" s="1"/>
  <c r="V462" i="10" a="1"/>
  <c r="V462" i="10" s="1"/>
  <c r="V464" i="10" a="1"/>
  <c r="V464" i="10" s="1"/>
  <c r="V466" i="10" a="1"/>
  <c r="V466" i="10" s="1"/>
  <c r="V468" i="10" a="1"/>
  <c r="V468" i="10" s="1"/>
  <c r="V470" i="10" a="1"/>
  <c r="V470" i="10" s="1"/>
  <c r="V472" i="10" a="1"/>
  <c r="V472" i="10" s="1"/>
  <c r="V474" i="10" a="1"/>
  <c r="V474" i="10" s="1"/>
  <c r="V476" i="10" a="1"/>
  <c r="V476" i="10" s="1"/>
  <c r="V478" i="10" a="1"/>
  <c r="V478" i="10" s="1"/>
  <c r="V480" i="10" a="1"/>
  <c r="V480" i="10" s="1"/>
  <c r="M392" i="10" a="1"/>
  <c r="M392" i="10" s="1"/>
  <c r="S395" i="10" a="1"/>
  <c r="S395" i="10" s="1"/>
  <c r="S407" i="10" a="1"/>
  <c r="S407" i="10" s="1"/>
  <c r="S419" i="10" a="1"/>
  <c r="S419" i="10" s="1"/>
  <c r="S431" i="10" a="1"/>
  <c r="S431" i="10" s="1"/>
  <c r="S443" i="10" a="1"/>
  <c r="S443" i="10" s="1"/>
  <c r="S455" i="10" a="1"/>
  <c r="S455" i="10" s="1"/>
  <c r="S467" i="10" a="1"/>
  <c r="S467" i="10" s="1"/>
  <c r="S479" i="10" a="1"/>
  <c r="S479" i="10" s="1"/>
  <c r="V388" i="10" a="1"/>
  <c r="V388" i="10" s="1"/>
  <c r="V392" i="10" a="1"/>
  <c r="V392" i="10" s="1"/>
  <c r="V396" i="10" a="1"/>
  <c r="V396" i="10" s="1"/>
  <c r="V400" i="10" a="1"/>
  <c r="V400" i="10" s="1"/>
  <c r="V404" i="10" a="1"/>
  <c r="V404" i="10" s="1"/>
  <c r="V408" i="10" a="1"/>
  <c r="V408" i="10" s="1"/>
  <c r="U412" i="10" a="1"/>
  <c r="U412" i="10" s="1"/>
  <c r="V414" i="10" a="1"/>
  <c r="V414" i="10" s="1"/>
  <c r="T389" i="10" a="1"/>
  <c r="T389" i="10" s="1"/>
  <c r="T393" i="10" a="1"/>
  <c r="T393" i="10" s="1"/>
  <c r="T397" i="10" a="1"/>
  <c r="T397" i="10" s="1"/>
  <c r="T401" i="10" a="1"/>
  <c r="T401" i="10" s="1"/>
  <c r="T405" i="10" a="1"/>
  <c r="T405" i="10" s="1"/>
  <c r="T409" i="10" a="1"/>
  <c r="T409" i="10" s="1"/>
  <c r="T415" i="10" a="1"/>
  <c r="T415" i="10" s="1"/>
  <c r="T417" i="10" a="1"/>
  <c r="T417" i="10" s="1"/>
  <c r="T419" i="10" a="1"/>
  <c r="T419" i="10" s="1"/>
  <c r="T421" i="10" a="1"/>
  <c r="T421" i="10" s="1"/>
  <c r="T423" i="10" a="1"/>
  <c r="T423" i="10" s="1"/>
  <c r="T425" i="10" a="1"/>
  <c r="T425" i="10" s="1"/>
  <c r="T427" i="10" a="1"/>
  <c r="T427" i="10" s="1"/>
  <c r="T429" i="10" a="1"/>
  <c r="T429" i="10" s="1"/>
  <c r="T431" i="10" a="1"/>
  <c r="T431" i="10" s="1"/>
  <c r="T433" i="10" a="1"/>
  <c r="T433" i="10" s="1"/>
  <c r="T435" i="10" a="1"/>
  <c r="T435" i="10" s="1"/>
  <c r="T437" i="10" a="1"/>
  <c r="T437" i="10" s="1"/>
  <c r="T439" i="10" a="1"/>
  <c r="T439" i="10" s="1"/>
  <c r="T441" i="10" a="1"/>
  <c r="T441" i="10" s="1"/>
  <c r="T443" i="10" a="1"/>
  <c r="T443" i="10" s="1"/>
  <c r="T445" i="10" a="1"/>
  <c r="T445" i="10" s="1"/>
  <c r="T447" i="10" a="1"/>
  <c r="T447" i="10" s="1"/>
  <c r="T449" i="10" a="1"/>
  <c r="T449" i="10" s="1"/>
  <c r="T451" i="10" a="1"/>
  <c r="T451" i="10" s="1"/>
  <c r="T453" i="10" a="1"/>
  <c r="T453" i="10" s="1"/>
  <c r="T455" i="10" a="1"/>
  <c r="T455" i="10" s="1"/>
  <c r="T457" i="10" a="1"/>
  <c r="T457" i="10" s="1"/>
  <c r="T459" i="10" a="1"/>
  <c r="T459" i="10" s="1"/>
  <c r="T461" i="10" a="1"/>
  <c r="T461" i="10" s="1"/>
  <c r="T463" i="10" a="1"/>
  <c r="T463" i="10" s="1"/>
  <c r="T465" i="10" a="1"/>
  <c r="T465" i="10" s="1"/>
  <c r="T467" i="10" a="1"/>
  <c r="T467" i="10" s="1"/>
  <c r="T469" i="10" a="1"/>
  <c r="T469" i="10" s="1"/>
  <c r="T471" i="10" a="1"/>
  <c r="T471" i="10" s="1"/>
  <c r="T473" i="10" a="1"/>
  <c r="T473" i="10" s="1"/>
  <c r="T475" i="10" a="1"/>
  <c r="T475" i="10" s="1"/>
  <c r="T477" i="10" a="1"/>
  <c r="T477" i="10" s="1"/>
  <c r="T479" i="10" a="1"/>
  <c r="T479" i="10" s="1"/>
  <c r="T481" i="10" a="1"/>
  <c r="T481" i="10" s="1"/>
  <c r="S397" i="10" a="1"/>
  <c r="S397" i="10" s="1"/>
  <c r="S409" i="10" a="1"/>
  <c r="S409" i="10" s="1"/>
  <c r="S421" i="10" a="1"/>
  <c r="S421" i="10" s="1"/>
  <c r="S433" i="10" a="1"/>
  <c r="S433" i="10" s="1"/>
  <c r="S445" i="10" a="1"/>
  <c r="S445" i="10" s="1"/>
  <c r="S457" i="10" a="1"/>
  <c r="S457" i="10" s="1"/>
  <c r="S469" i="10" a="1"/>
  <c r="S469" i="10" s="1"/>
  <c r="S481" i="10" a="1"/>
  <c r="S481" i="10" s="1"/>
  <c r="U389" i="10" a="1"/>
  <c r="U389" i="10" s="1"/>
  <c r="U393" i="10" a="1"/>
  <c r="U393" i="10" s="1"/>
  <c r="U397" i="10" a="1"/>
  <c r="U397" i="10" s="1"/>
  <c r="U401" i="10" a="1"/>
  <c r="U401" i="10" s="1"/>
  <c r="U405" i="10" a="1"/>
  <c r="U405" i="10" s="1"/>
  <c r="U409" i="10" a="1"/>
  <c r="U409" i="10" s="1"/>
  <c r="V412" i="10" a="1"/>
  <c r="V412" i="10" s="1"/>
  <c r="V389" i="10" a="1"/>
  <c r="V389" i="10" s="1"/>
  <c r="V393" i="10" a="1"/>
  <c r="V393" i="10" s="1"/>
  <c r="V397" i="10" a="1"/>
  <c r="V397" i="10" s="1"/>
  <c r="V401" i="10" a="1"/>
  <c r="V401" i="10" s="1"/>
  <c r="V405" i="10" a="1"/>
  <c r="V405" i="10" s="1"/>
  <c r="V409" i="10" a="1"/>
  <c r="V409" i="10" s="1"/>
  <c r="T413" i="10" a="1"/>
  <c r="T413" i="10" s="1"/>
  <c r="U415" i="10" a="1"/>
  <c r="U415" i="10" s="1"/>
  <c r="U417" i="10" a="1"/>
  <c r="U417" i="10" s="1"/>
  <c r="U419" i="10" a="1"/>
  <c r="U419" i="10" s="1"/>
  <c r="U421" i="10" a="1"/>
  <c r="U421" i="10" s="1"/>
  <c r="U423" i="10" a="1"/>
  <c r="U423" i="10" s="1"/>
  <c r="U425" i="10" a="1"/>
  <c r="U425" i="10" s="1"/>
  <c r="U427" i="10" a="1"/>
  <c r="U427" i="10" s="1"/>
  <c r="U429" i="10" a="1"/>
  <c r="U429" i="10" s="1"/>
  <c r="U431" i="10" a="1"/>
  <c r="U431" i="10" s="1"/>
  <c r="U433" i="10" a="1"/>
  <c r="U433" i="10" s="1"/>
  <c r="U435" i="10" a="1"/>
  <c r="U435" i="10" s="1"/>
  <c r="U437" i="10" a="1"/>
  <c r="U437" i="10" s="1"/>
  <c r="U439" i="10" a="1"/>
  <c r="U439" i="10" s="1"/>
  <c r="U441" i="10" a="1"/>
  <c r="U441" i="10" s="1"/>
  <c r="U443" i="10" a="1"/>
  <c r="U443" i="10" s="1"/>
  <c r="U445" i="10" a="1"/>
  <c r="U445" i="10" s="1"/>
  <c r="U447" i="10" a="1"/>
  <c r="U447" i="10" s="1"/>
  <c r="U449" i="10" a="1"/>
  <c r="U449" i="10" s="1"/>
  <c r="U451" i="10" a="1"/>
  <c r="U451" i="10" s="1"/>
  <c r="U453" i="10" a="1"/>
  <c r="U453" i="10" s="1"/>
  <c r="U455" i="10" a="1"/>
  <c r="U455" i="10" s="1"/>
  <c r="U457" i="10" a="1"/>
  <c r="U457" i="10" s="1"/>
  <c r="U459" i="10" a="1"/>
  <c r="U459" i="10" s="1"/>
  <c r="U461" i="10" a="1"/>
  <c r="U461" i="10" s="1"/>
  <c r="U463" i="10" a="1"/>
  <c r="U463" i="10" s="1"/>
  <c r="U465" i="10" a="1"/>
  <c r="U465" i="10" s="1"/>
  <c r="U467" i="10" a="1"/>
  <c r="U467" i="10" s="1"/>
  <c r="U469" i="10" a="1"/>
  <c r="U469" i="10" s="1"/>
  <c r="U471" i="10" a="1"/>
  <c r="U471" i="10" s="1"/>
  <c r="U473" i="10" a="1"/>
  <c r="U473" i="10" s="1"/>
  <c r="U475" i="10" a="1"/>
  <c r="U475" i="10" s="1"/>
  <c r="U477" i="10" a="1"/>
  <c r="U477" i="10" s="1"/>
  <c r="U479" i="10" a="1"/>
  <c r="U479" i="10" s="1"/>
  <c r="U481" i="10" a="1"/>
  <c r="U481" i="10" s="1"/>
  <c r="S387" i="10" a="1"/>
  <c r="S387" i="10" s="1"/>
  <c r="S399" i="10" a="1"/>
  <c r="S399" i="10" s="1"/>
  <c r="S411" i="10" a="1"/>
  <c r="S411" i="10" s="1"/>
  <c r="S423" i="10" a="1"/>
  <c r="S423" i="10" s="1"/>
  <c r="S435" i="10" a="1"/>
  <c r="S435" i="10" s="1"/>
  <c r="S447" i="10" a="1"/>
  <c r="S447" i="10" s="1"/>
  <c r="S459" i="10" a="1"/>
  <c r="S459" i="10" s="1"/>
  <c r="S471" i="10" a="1"/>
  <c r="S471" i="10" s="1"/>
  <c r="T386" i="10" a="1"/>
  <c r="T386" i="10" s="1"/>
  <c r="T390" i="10" a="1"/>
  <c r="T390" i="10" s="1"/>
  <c r="T394" i="10" a="1"/>
  <c r="T394" i="10" s="1"/>
  <c r="T398" i="10" a="1"/>
  <c r="T398" i="10" s="1"/>
  <c r="T402" i="10" a="1"/>
  <c r="T402" i="10" s="1"/>
  <c r="T406" i="10" a="1"/>
  <c r="T406" i="10" s="1"/>
  <c r="T410" i="10" a="1"/>
  <c r="T410" i="10" s="1"/>
  <c r="U413" i="10" a="1"/>
  <c r="U413" i="10" s="1"/>
  <c r="V415" i="10" a="1"/>
  <c r="V415" i="10" s="1"/>
  <c r="V417" i="10" a="1"/>
  <c r="V417" i="10" s="1"/>
  <c r="V419" i="10" a="1"/>
  <c r="V419" i="10" s="1"/>
  <c r="V421" i="10" a="1"/>
  <c r="V421" i="10" s="1"/>
  <c r="V423" i="10" a="1"/>
  <c r="V423" i="10" s="1"/>
  <c r="V425" i="10" a="1"/>
  <c r="V425" i="10" s="1"/>
  <c r="V427" i="10" a="1"/>
  <c r="V427" i="10" s="1"/>
  <c r="V429" i="10" a="1"/>
  <c r="V429" i="10" s="1"/>
  <c r="V431" i="10" a="1"/>
  <c r="V431" i="10" s="1"/>
  <c r="V433" i="10" a="1"/>
  <c r="V433" i="10" s="1"/>
  <c r="V435" i="10" a="1"/>
  <c r="V435" i="10" s="1"/>
  <c r="V437" i="10" a="1"/>
  <c r="V437" i="10" s="1"/>
  <c r="V439" i="10" a="1"/>
  <c r="V439" i="10" s="1"/>
  <c r="V441" i="10" a="1"/>
  <c r="V441" i="10" s="1"/>
  <c r="V443" i="10" a="1"/>
  <c r="V443" i="10" s="1"/>
  <c r="V445" i="10" a="1"/>
  <c r="V445" i="10" s="1"/>
  <c r="V447" i="10" a="1"/>
  <c r="V447" i="10" s="1"/>
  <c r="V449" i="10" a="1"/>
  <c r="V449" i="10" s="1"/>
  <c r="V451" i="10" a="1"/>
  <c r="V451" i="10" s="1"/>
  <c r="V453" i="10" a="1"/>
  <c r="V453" i="10" s="1"/>
  <c r="V455" i="10" a="1"/>
  <c r="V455" i="10" s="1"/>
  <c r="V457" i="10" a="1"/>
  <c r="V457" i="10" s="1"/>
  <c r="V459" i="10" a="1"/>
  <c r="V459" i="10" s="1"/>
  <c r="V461" i="10" a="1"/>
  <c r="V461" i="10" s="1"/>
  <c r="V463" i="10" a="1"/>
  <c r="V463" i="10" s="1"/>
  <c r="V465" i="10" a="1"/>
  <c r="V465" i="10" s="1"/>
  <c r="V467" i="10" a="1"/>
  <c r="V467" i="10" s="1"/>
  <c r="V469" i="10" a="1"/>
  <c r="V469" i="10" s="1"/>
  <c r="V471" i="10" a="1"/>
  <c r="V471" i="10" s="1"/>
  <c r="V473" i="10" a="1"/>
  <c r="V473" i="10" s="1"/>
  <c r="V475" i="10" a="1"/>
  <c r="V475" i="10" s="1"/>
  <c r="V477" i="10" a="1"/>
  <c r="V477" i="10" s="1"/>
  <c r="V479" i="10" a="1"/>
  <c r="V479" i="10" s="1"/>
  <c r="V481" i="10" a="1"/>
  <c r="V481" i="10" s="1"/>
  <c r="S389" i="10" a="1"/>
  <c r="S389" i="10" s="1"/>
  <c r="S401" i="10" a="1"/>
  <c r="S401" i="10" s="1"/>
  <c r="S413" i="10" a="1"/>
  <c r="S413" i="10" s="1"/>
  <c r="S425" i="10" a="1"/>
  <c r="S425" i="10" s="1"/>
  <c r="S437" i="10" a="1"/>
  <c r="S437" i="10" s="1"/>
  <c r="S449" i="10" a="1"/>
  <c r="S449" i="10" s="1"/>
  <c r="S461" i="10" a="1"/>
  <c r="S461" i="10" s="1"/>
  <c r="S473" i="10" a="1"/>
  <c r="S473" i="10" s="1"/>
  <c r="V390" i="10" a="1"/>
  <c r="V390" i="10" s="1"/>
  <c r="V394" i="10" a="1"/>
  <c r="V394" i="10" s="1"/>
  <c r="V398" i="10" a="1"/>
  <c r="V398" i="10" s="1"/>
  <c r="V402" i="10" a="1"/>
  <c r="V402" i="10" s="1"/>
  <c r="V406" i="10" a="1"/>
  <c r="V406" i="10" s="1"/>
  <c r="M441" i="10" a="1"/>
  <c r="M441" i="10" s="1"/>
  <c r="M443" i="10" a="1"/>
  <c r="M443" i="10" s="1"/>
  <c r="M473" i="10" a="1"/>
  <c r="M473" i="10" s="1"/>
  <c r="M475" i="10" a="1"/>
  <c r="M475" i="10" s="1"/>
  <c r="M389" i="10" a="1"/>
  <c r="M389" i="10" s="1"/>
  <c r="M479" i="10" a="1"/>
  <c r="M479" i="10" s="1"/>
  <c r="M453" i="10" a="1"/>
  <c r="M453" i="10" s="1"/>
  <c r="M429" i="10" a="1"/>
  <c r="M429" i="10" s="1"/>
  <c r="M459" i="10" a="1"/>
  <c r="M459" i="10" s="1"/>
  <c r="M402" i="10" a="1"/>
  <c r="M402" i="10" s="1"/>
  <c r="M435" i="10" a="1"/>
  <c r="M435" i="10" s="1"/>
  <c r="M465" i="10" a="1"/>
  <c r="M465" i="10" s="1"/>
  <c r="Q411" i="10" a="1"/>
  <c r="Q411" i="10" s="1"/>
  <c r="M456" i="10" a="1"/>
  <c r="M456" i="10" s="1"/>
  <c r="M468" i="10" a="1"/>
  <c r="M468" i="10" s="1"/>
  <c r="M445" i="10" a="1"/>
  <c r="M445" i="10" s="1"/>
  <c r="M469" i="10" a="1"/>
  <c r="M469" i="10" s="1"/>
  <c r="Q436" i="10" a="1"/>
  <c r="Q436" i="10" s="1"/>
  <c r="Q442" i="10" a="1"/>
  <c r="Q442" i="10" s="1"/>
  <c r="Q472" i="10" a="1"/>
  <c r="Q472" i="10" s="1"/>
  <c r="Q478" i="10" a="1"/>
  <c r="Q478" i="10" s="1"/>
  <c r="M481" i="10" a="1"/>
  <c r="M481" i="10" s="1"/>
  <c r="Q405" i="10" a="1"/>
  <c r="Q405" i="10" s="1"/>
  <c r="M446" i="10" a="1"/>
  <c r="M446" i="10" s="1"/>
  <c r="M458" i="10" a="1"/>
  <c r="M458" i="10" s="1"/>
  <c r="M470" i="10" a="1"/>
  <c r="M470" i="10" s="1"/>
  <c r="M399" i="10" a="1"/>
  <c r="M399" i="10" s="1"/>
  <c r="Q426" i="10" a="1"/>
  <c r="Q426" i="10" s="1"/>
  <c r="Q462" i="10" a="1"/>
  <c r="Q462" i="10" s="1"/>
  <c r="Q474" i="10" a="1"/>
  <c r="Q474" i="10" s="1"/>
  <c r="Q400" i="10" a="1"/>
  <c r="Q400" i="10" s="1"/>
  <c r="M403" i="10" a="1"/>
  <c r="M403" i="10" s="1"/>
  <c r="M428" i="10" a="1"/>
  <c r="M428" i="10" s="1"/>
  <c r="M440" i="10" a="1"/>
  <c r="M440" i="10" s="1"/>
  <c r="M452" i="10" a="1"/>
  <c r="M452" i="10" s="1"/>
  <c r="M464" i="10" a="1"/>
  <c r="M464" i="10" s="1"/>
  <c r="M476" i="10" a="1"/>
  <c r="M476" i="10" s="1"/>
  <c r="M65" i="5"/>
  <c r="G65" i="5"/>
  <c r="H65" i="5" s="1"/>
  <c r="M64" i="5"/>
  <c r="G64" i="5"/>
  <c r="H64" i="5" s="1"/>
  <c r="M63" i="5"/>
  <c r="G63" i="5"/>
  <c r="H63" i="5" s="1"/>
  <c r="R477" i="10" s="1"/>
  <c r="M62" i="5"/>
  <c r="G62" i="5"/>
  <c r="H62" i="5" s="1"/>
  <c r="F61" i="5"/>
  <c r="G61" i="5" s="1"/>
  <c r="H61" i="5" s="1"/>
  <c r="F60" i="5"/>
  <c r="G60" i="5" s="1"/>
  <c r="H60" i="5" s="1"/>
  <c r="F59" i="5"/>
  <c r="G59" i="5" s="1"/>
  <c r="H59" i="5" s="1"/>
  <c r="R474" i="10" s="1"/>
  <c r="F58" i="5"/>
  <c r="G58" i="5" s="1"/>
  <c r="H58" i="5" s="1"/>
  <c r="M57" i="5"/>
  <c r="G57" i="5"/>
  <c r="H57" i="5" s="1"/>
  <c r="M56" i="5"/>
  <c r="G56" i="5"/>
  <c r="H56" i="5" s="1"/>
  <c r="M55" i="5"/>
  <c r="G55" i="5"/>
  <c r="H55" i="5" s="1"/>
  <c r="R465" i="10" s="1"/>
  <c r="M54" i="5"/>
  <c r="G54" i="5"/>
  <c r="H54" i="5" s="1"/>
  <c r="M53" i="5"/>
  <c r="G53" i="5"/>
  <c r="H53" i="5" s="1"/>
  <c r="M52" i="5"/>
  <c r="G52" i="5"/>
  <c r="H52" i="5" s="1"/>
  <c r="M51" i="5"/>
  <c r="G51" i="5"/>
  <c r="H51" i="5" s="1"/>
  <c r="R462" i="10" s="1"/>
  <c r="M50" i="5"/>
  <c r="G50" i="5"/>
  <c r="H50" i="5" s="1"/>
  <c r="F49" i="5"/>
  <c r="G49" i="5" s="1"/>
  <c r="H49" i="5" s="1"/>
  <c r="F48" i="5"/>
  <c r="G48" i="5" s="1"/>
  <c r="H48" i="5" s="1"/>
  <c r="F47" i="5"/>
  <c r="G47" i="5" s="1"/>
  <c r="H47" i="5" s="1"/>
  <c r="R452" i="10" s="1"/>
  <c r="F46" i="5"/>
  <c r="G46" i="5" s="1"/>
  <c r="H46" i="5" s="1"/>
  <c r="M45" i="5"/>
  <c r="G45" i="5"/>
  <c r="H45" i="5" s="1"/>
  <c r="M44" i="5"/>
  <c r="G44" i="5"/>
  <c r="H44" i="5" s="1"/>
  <c r="M43" i="5"/>
  <c r="G43" i="5"/>
  <c r="H43" i="5" s="1"/>
  <c r="R450" i="10" s="1"/>
  <c r="M42" i="5"/>
  <c r="G42" i="5"/>
  <c r="H42" i="5" s="1"/>
  <c r="M41" i="5"/>
  <c r="G41" i="5"/>
  <c r="H41" i="5" s="1"/>
  <c r="M40" i="5"/>
  <c r="G40" i="5"/>
  <c r="H40" i="5" s="1"/>
  <c r="M39" i="5"/>
  <c r="G39" i="5"/>
  <c r="H39" i="5" s="1"/>
  <c r="R441" i="10" s="1"/>
  <c r="M38" i="5"/>
  <c r="G38" i="5"/>
  <c r="H38" i="5" s="1"/>
  <c r="M37" i="5"/>
  <c r="G37" i="5"/>
  <c r="H37" i="5" s="1"/>
  <c r="M36" i="5"/>
  <c r="G36" i="5"/>
  <c r="H36" i="5" s="1"/>
  <c r="M35" i="5"/>
  <c r="G35" i="5"/>
  <c r="H35" i="5" s="1"/>
  <c r="R438" i="10" s="1"/>
  <c r="M34" i="5"/>
  <c r="G34" i="5"/>
  <c r="H34" i="5" s="1"/>
  <c r="M33" i="5"/>
  <c r="G33" i="5"/>
  <c r="H33" i="5" s="1"/>
  <c r="M32" i="5"/>
  <c r="G32" i="5"/>
  <c r="H32" i="5" s="1"/>
  <c r="M31" i="5"/>
  <c r="G31" i="5"/>
  <c r="H31" i="5" s="1"/>
  <c r="R429" i="10" s="1"/>
  <c r="M30" i="5"/>
  <c r="G30" i="5"/>
  <c r="H30" i="5" s="1"/>
  <c r="M29" i="5"/>
  <c r="G29" i="5"/>
  <c r="H29" i="5" s="1"/>
  <c r="M28" i="5"/>
  <c r="G28" i="5"/>
  <c r="H28" i="5" s="1"/>
  <c r="M27" i="5"/>
  <c r="G27" i="5"/>
  <c r="H27" i="5" s="1"/>
  <c r="R426" i="10" s="1"/>
  <c r="M26" i="5"/>
  <c r="G26" i="5"/>
  <c r="H26" i="5" s="1"/>
  <c r="M25" i="5"/>
  <c r="G25" i="5"/>
  <c r="H25" i="5" s="1"/>
  <c r="M24" i="5"/>
  <c r="G24" i="5"/>
  <c r="H24" i="5" s="1"/>
  <c r="M23" i="5"/>
  <c r="G23" i="5"/>
  <c r="H23" i="5" s="1"/>
  <c r="R417" i="10" s="1"/>
  <c r="M22" i="5"/>
  <c r="G22" i="5"/>
  <c r="H22" i="5" s="1"/>
  <c r="M21" i="5"/>
  <c r="G21" i="5"/>
  <c r="H21" i="5" s="1"/>
  <c r="M20" i="5"/>
  <c r="G20" i="5"/>
  <c r="H20" i="5" s="1"/>
  <c r="M19" i="5"/>
  <c r="G19" i="5"/>
  <c r="H19" i="5" s="1"/>
  <c r="R414" i="10" s="1"/>
  <c r="M18" i="5"/>
  <c r="G18" i="5"/>
  <c r="H18" i="5" s="1"/>
  <c r="E17" i="5"/>
  <c r="F17" i="5" s="1"/>
  <c r="G17" i="5" s="1"/>
  <c r="H17" i="5" s="1"/>
  <c r="E16" i="5"/>
  <c r="F16" i="5" s="1"/>
  <c r="G16" i="5" s="1"/>
  <c r="H16" i="5" s="1"/>
  <c r="E15" i="5"/>
  <c r="F15" i="5" s="1"/>
  <c r="G15" i="5" s="1"/>
  <c r="H15" i="5" s="1"/>
  <c r="R405" i="10" s="1"/>
  <c r="E14" i="5"/>
  <c r="F14" i="5" s="1"/>
  <c r="G14" i="5" s="1"/>
  <c r="H14" i="5" s="1"/>
  <c r="E13" i="5"/>
  <c r="F13" i="5" s="1"/>
  <c r="G13" i="5" s="1"/>
  <c r="H13" i="5" s="1"/>
  <c r="E12" i="5"/>
  <c r="F12" i="5" s="1"/>
  <c r="G12" i="5" s="1"/>
  <c r="H12" i="5" s="1"/>
  <c r="E11" i="5"/>
  <c r="F11" i="5" s="1"/>
  <c r="G11" i="5" s="1"/>
  <c r="H11" i="5" s="1"/>
  <c r="R402" i="10" s="1"/>
  <c r="E10" i="5"/>
  <c r="F10" i="5" s="1"/>
  <c r="G10" i="5" s="1"/>
  <c r="H10" i="5" s="1"/>
  <c r="E9" i="5"/>
  <c r="F9" i="5" s="1"/>
  <c r="G9" i="5" s="1"/>
  <c r="H9" i="5" s="1"/>
  <c r="E8" i="5"/>
  <c r="F8" i="5" s="1"/>
  <c r="G8" i="5" s="1"/>
  <c r="H8" i="5" s="1"/>
  <c r="E7" i="5"/>
  <c r="F7" i="5" s="1"/>
  <c r="G7" i="5" s="1"/>
  <c r="H7" i="5" s="1"/>
  <c r="R393" i="10" s="1"/>
  <c r="E6" i="5"/>
  <c r="F6" i="5" s="1"/>
  <c r="G6" i="5" s="1"/>
  <c r="H6" i="5" s="1"/>
  <c r="M5" i="5"/>
  <c r="G5" i="5"/>
  <c r="H5" i="5" s="1"/>
  <c r="M4" i="5"/>
  <c r="G4" i="5"/>
  <c r="H4" i="5" s="1"/>
  <c r="M3" i="5"/>
  <c r="G3" i="5"/>
  <c r="H3" i="5" s="1"/>
  <c r="R389" i="10" s="1"/>
  <c r="M2" i="5"/>
  <c r="G2" i="5"/>
  <c r="H2" i="5" s="1"/>
  <c r="L10" i="4"/>
  <c r="K10" i="4"/>
  <c r="J10" i="4"/>
  <c r="I13" i="4"/>
  <c r="J13" i="4" s="1"/>
  <c r="I12" i="4"/>
  <c r="J12" i="4" s="1"/>
  <c r="I11" i="4"/>
  <c r="K11" i="4" s="1"/>
  <c r="L14" i="4"/>
  <c r="K14" i="4"/>
  <c r="J14" i="4"/>
  <c r="I15" i="4"/>
  <c r="I16" i="4" s="1"/>
  <c r="K16" i="4" s="1"/>
  <c r="G46" i="4"/>
  <c r="H46" i="4" s="1"/>
  <c r="G47" i="4"/>
  <c r="H47" i="4" s="1"/>
  <c r="G48" i="4"/>
  <c r="H48" i="4" s="1"/>
  <c r="G49" i="4"/>
  <c r="H49" i="4" s="1"/>
  <c r="J47" i="4"/>
  <c r="J48" i="4" s="1"/>
  <c r="J49" i="4" s="1"/>
  <c r="L46" i="4"/>
  <c r="M46" i="4" s="1"/>
  <c r="G58" i="4"/>
  <c r="H58" i="4" s="1"/>
  <c r="G59" i="4"/>
  <c r="M472" i="10" s="1" a="1"/>
  <c r="M472" i="10" s="1"/>
  <c r="G60" i="4"/>
  <c r="H60" i="4" s="1"/>
  <c r="G61" i="4"/>
  <c r="H61" i="4" s="1"/>
  <c r="M61" i="4"/>
  <c r="M60" i="4"/>
  <c r="M59" i="4"/>
  <c r="M58" i="4"/>
  <c r="F14" i="4"/>
  <c r="G14" i="4" s="1"/>
  <c r="H14" i="4" s="1"/>
  <c r="F15" i="4"/>
  <c r="G15" i="4" s="1"/>
  <c r="H15" i="4" s="1"/>
  <c r="F16" i="4"/>
  <c r="G16" i="4" s="1"/>
  <c r="H16" i="4" s="1"/>
  <c r="F17" i="4"/>
  <c r="G17" i="4" s="1"/>
  <c r="H17" i="4" s="1"/>
  <c r="F10" i="4"/>
  <c r="G10" i="4" s="1"/>
  <c r="H10" i="4" s="1"/>
  <c r="F11" i="4"/>
  <c r="G11" i="4" s="1"/>
  <c r="M401" i="10" s="1" a="1"/>
  <c r="M401" i="10" s="1"/>
  <c r="F12" i="4"/>
  <c r="G12" i="4" s="1"/>
  <c r="H12" i="4" s="1"/>
  <c r="F13" i="4"/>
  <c r="G13" i="4" s="1"/>
  <c r="H13" i="4" s="1"/>
  <c r="F6" i="4"/>
  <c r="G6" i="4" s="1"/>
  <c r="H6" i="4" s="1"/>
  <c r="F7" i="4"/>
  <c r="G7" i="4" s="1"/>
  <c r="H7" i="4" s="1"/>
  <c r="F8" i="4"/>
  <c r="G8" i="4" s="1"/>
  <c r="H8" i="4" s="1"/>
  <c r="F9" i="4"/>
  <c r="G9" i="4" s="1"/>
  <c r="H9" i="4" s="1"/>
  <c r="J9" i="4"/>
  <c r="M9" i="4" s="1"/>
  <c r="J8" i="4"/>
  <c r="J7" i="4"/>
  <c r="M7" i="4" s="1"/>
  <c r="M6" i="4"/>
  <c r="M65" i="4"/>
  <c r="G65" i="4"/>
  <c r="H65" i="4" s="1"/>
  <c r="M64" i="4"/>
  <c r="G64" i="4"/>
  <c r="H64" i="4" s="1"/>
  <c r="M63" i="4"/>
  <c r="G63" i="4"/>
  <c r="M477" i="10" s="1" a="1"/>
  <c r="M477" i="10" s="1"/>
  <c r="M62" i="4"/>
  <c r="G62" i="4"/>
  <c r="H62" i="4" s="1"/>
  <c r="M57" i="4"/>
  <c r="G57" i="4"/>
  <c r="H57" i="4" s="1"/>
  <c r="M56" i="4"/>
  <c r="G56" i="4"/>
  <c r="H56" i="4" s="1"/>
  <c r="M55" i="4"/>
  <c r="G55" i="4"/>
  <c r="M466" i="10" s="1" a="1"/>
  <c r="M466" i="10" s="1"/>
  <c r="M54" i="4"/>
  <c r="G54" i="4"/>
  <c r="H54" i="4" s="1"/>
  <c r="M53" i="4"/>
  <c r="G53" i="4"/>
  <c r="H53" i="4" s="1"/>
  <c r="M52" i="4"/>
  <c r="G52" i="4"/>
  <c r="H52" i="4" s="1"/>
  <c r="M51" i="4"/>
  <c r="G51" i="4"/>
  <c r="H51" i="4" s="1"/>
  <c r="M50" i="4"/>
  <c r="G50" i="4"/>
  <c r="H50" i="4" s="1"/>
  <c r="M45" i="4"/>
  <c r="G45" i="4"/>
  <c r="H45" i="4" s="1"/>
  <c r="M44" i="4"/>
  <c r="G44" i="4"/>
  <c r="H44" i="4" s="1"/>
  <c r="M43" i="4"/>
  <c r="G43" i="4"/>
  <c r="H43" i="4" s="1"/>
  <c r="M42" i="4"/>
  <c r="G42" i="4"/>
  <c r="H42" i="4" s="1"/>
  <c r="M41" i="4"/>
  <c r="G41" i="4"/>
  <c r="H41" i="4" s="1"/>
  <c r="M40" i="4"/>
  <c r="G40" i="4"/>
  <c r="H40" i="4" s="1"/>
  <c r="M39" i="4"/>
  <c r="G39" i="4"/>
  <c r="H39" i="4" s="1"/>
  <c r="M38" i="4"/>
  <c r="G38" i="4"/>
  <c r="H38" i="4" s="1"/>
  <c r="M37" i="4"/>
  <c r="G37" i="4"/>
  <c r="H37" i="4" s="1"/>
  <c r="M36" i="4"/>
  <c r="G36" i="4"/>
  <c r="H36" i="4" s="1"/>
  <c r="M35" i="4"/>
  <c r="G35" i="4"/>
  <c r="H35" i="4" s="1"/>
  <c r="M34" i="4"/>
  <c r="G34" i="4"/>
  <c r="H34" i="4" s="1"/>
  <c r="M33" i="4"/>
  <c r="G33" i="4"/>
  <c r="H33" i="4" s="1"/>
  <c r="M32" i="4"/>
  <c r="G32" i="4"/>
  <c r="H32" i="4" s="1"/>
  <c r="M31" i="4"/>
  <c r="G31" i="4"/>
  <c r="M431" i="10" s="1" a="1"/>
  <c r="M431" i="10" s="1"/>
  <c r="M30" i="4"/>
  <c r="G30" i="4"/>
  <c r="H30" i="4" s="1"/>
  <c r="M29" i="4"/>
  <c r="G29" i="4"/>
  <c r="H29" i="4" s="1"/>
  <c r="M28" i="4"/>
  <c r="G28" i="4"/>
  <c r="H28" i="4" s="1"/>
  <c r="M27" i="4"/>
  <c r="G27" i="4"/>
  <c r="H27" i="4" s="1"/>
  <c r="M26" i="4"/>
  <c r="G26" i="4"/>
  <c r="H26" i="4" s="1"/>
  <c r="M25" i="4"/>
  <c r="G25" i="4"/>
  <c r="H25" i="4" s="1"/>
  <c r="M24" i="4"/>
  <c r="G24" i="4"/>
  <c r="H24" i="4" s="1"/>
  <c r="M23" i="4"/>
  <c r="G23" i="4"/>
  <c r="H23" i="4" s="1"/>
  <c r="M22" i="4"/>
  <c r="G22" i="4"/>
  <c r="H22" i="4" s="1"/>
  <c r="M21" i="4"/>
  <c r="G21" i="4"/>
  <c r="H21" i="4" s="1"/>
  <c r="M20" i="4"/>
  <c r="G20" i="4"/>
  <c r="H20" i="4" s="1"/>
  <c r="M19" i="4"/>
  <c r="G19" i="4"/>
  <c r="M411" i="10" s="1" a="1"/>
  <c r="M411" i="10" s="1"/>
  <c r="M18" i="4"/>
  <c r="G18" i="4"/>
  <c r="H18" i="4" s="1"/>
  <c r="G3" i="4"/>
  <c r="G4" i="4"/>
  <c r="H4" i="4" s="1"/>
  <c r="G5" i="4"/>
  <c r="H5" i="4" s="1"/>
  <c r="G2" i="4"/>
  <c r="H2" i="4" s="1"/>
  <c r="M5" i="4"/>
  <c r="M4" i="4"/>
  <c r="M3" i="4"/>
  <c r="M2" i="4"/>
  <c r="F37" i="9" l="1"/>
  <c r="F41" i="9"/>
  <c r="F45" i="9"/>
  <c r="F52" i="9"/>
  <c r="F40" i="9"/>
  <c r="F44" i="9"/>
  <c r="F43" i="9"/>
  <c r="F39" i="9"/>
  <c r="F48" i="9"/>
  <c r="F50" i="9"/>
  <c r="R463" i="10"/>
  <c r="R476" i="10"/>
  <c r="R388" i="10"/>
  <c r="R424" i="10"/>
  <c r="R460" i="10"/>
  <c r="R472" i="10"/>
  <c r="R412" i="10"/>
  <c r="R416" i="10"/>
  <c r="R387" i="10"/>
  <c r="R427" i="10"/>
  <c r="R396" i="10"/>
  <c r="R432" i="10"/>
  <c r="R392" i="10"/>
  <c r="R428" i="10"/>
  <c r="R464" i="10"/>
  <c r="R444" i="10"/>
  <c r="R403" i="10"/>
  <c r="R440" i="10"/>
  <c r="R400" i="10"/>
  <c r="R451" i="10"/>
  <c r="R475" i="10"/>
  <c r="R448" i="10"/>
  <c r="R386" i="10"/>
  <c r="R469" i="10"/>
  <c r="R470" i="10"/>
  <c r="R481" i="10"/>
  <c r="R421" i="10"/>
  <c r="R433" i="10"/>
  <c r="R445" i="10"/>
  <c r="R457" i="10"/>
  <c r="R404" i="10"/>
  <c r="R436" i="10"/>
  <c r="R468" i="10"/>
  <c r="R480" i="10"/>
  <c r="R420" i="10"/>
  <c r="R456" i="10"/>
  <c r="R391" i="10"/>
  <c r="R467" i="10"/>
  <c r="R473" i="10"/>
  <c r="R479" i="10"/>
  <c r="R419" i="10"/>
  <c r="R431" i="10"/>
  <c r="R443" i="10"/>
  <c r="R455" i="10"/>
  <c r="R390" i="10"/>
  <c r="R466" i="10"/>
  <c r="R471" i="10"/>
  <c r="R478" i="10"/>
  <c r="R418" i="10"/>
  <c r="R430" i="10"/>
  <c r="R442" i="10"/>
  <c r="R454" i="10"/>
  <c r="R453" i="10"/>
  <c r="R408" i="10"/>
  <c r="R415" i="10"/>
  <c r="R439" i="10"/>
  <c r="R397" i="10"/>
  <c r="R398" i="10"/>
  <c r="R409" i="10"/>
  <c r="R410" i="10"/>
  <c r="R422" i="10"/>
  <c r="R434" i="10"/>
  <c r="R446" i="10"/>
  <c r="R458" i="10"/>
  <c r="R395" i="10"/>
  <c r="R401" i="10"/>
  <c r="R407" i="10"/>
  <c r="R413" i="10"/>
  <c r="R425" i="10"/>
  <c r="R437" i="10"/>
  <c r="R449" i="10"/>
  <c r="R461" i="10"/>
  <c r="R394" i="10"/>
  <c r="R399" i="10"/>
  <c r="R406" i="10"/>
  <c r="R411" i="10"/>
  <c r="R423" i="10"/>
  <c r="R435" i="10"/>
  <c r="R447" i="10"/>
  <c r="R459" i="10"/>
  <c r="M405" i="10" a="1"/>
  <c r="M405" i="10" s="1"/>
  <c r="M430" i="10" a="1"/>
  <c r="M430" i="10" s="1"/>
  <c r="Q443" i="10" a="1"/>
  <c r="Q443" i="10" s="1"/>
  <c r="Q480" i="10" a="1"/>
  <c r="Q480" i="10" s="1"/>
  <c r="Q399" i="10" a="1"/>
  <c r="Q399" i="10" s="1"/>
  <c r="M424" i="10" a="1"/>
  <c r="M424" i="10" s="1"/>
  <c r="Q437" i="10" a="1"/>
  <c r="Q437" i="10" s="1"/>
  <c r="M462" i="10" a="1"/>
  <c r="M462" i="10" s="1"/>
  <c r="H3" i="4"/>
  <c r="Q415" i="10" a="1"/>
  <c r="Q415" i="10" s="1"/>
  <c r="M434" i="10" a="1"/>
  <c r="M434" i="10" s="1"/>
  <c r="Q466" i="10" a="1"/>
  <c r="Q466" i="10" s="1"/>
  <c r="M421" i="10" a="1"/>
  <c r="M421" i="10" s="1"/>
  <c r="M461" i="10" a="1"/>
  <c r="M461" i="10" s="1"/>
  <c r="M451" i="10" a="1"/>
  <c r="M451" i="10" s="1"/>
  <c r="M414" i="10" a="1"/>
  <c r="M414" i="10" s="1"/>
  <c r="M395" i="10" a="1"/>
  <c r="M395" i="10" s="1"/>
  <c r="Q392" i="10" a="1"/>
  <c r="Q392" i="10" s="1"/>
  <c r="M417" i="10" a="1"/>
  <c r="M417" i="10" s="1"/>
  <c r="M442" i="10" a="1"/>
  <c r="M442" i="10" s="1"/>
  <c r="Q455" i="10" a="1"/>
  <c r="Q455" i="10" s="1"/>
  <c r="Q470" i="10" a="1"/>
  <c r="Q470" i="10" s="1"/>
  <c r="M436" i="10" a="1"/>
  <c r="M436" i="10" s="1"/>
  <c r="Q449" i="10" a="1"/>
  <c r="Q449" i="10" s="1"/>
  <c r="M474" i="10" a="1"/>
  <c r="M474" i="10" s="1"/>
  <c r="Q391" i="10" a="1"/>
  <c r="Q391" i="10" s="1"/>
  <c r="M422" i="10" a="1"/>
  <c r="M422" i="10" s="1"/>
  <c r="Q460" i="10" a="1"/>
  <c r="Q460" i="10" s="1"/>
  <c r="M394" i="10" a="1"/>
  <c r="M394" i="10" s="1"/>
  <c r="M423" i="10" a="1"/>
  <c r="M423" i="10" s="1"/>
  <c r="M386" i="10" a="1"/>
  <c r="M386" i="10" s="1"/>
  <c r="Q404" i="10" a="1"/>
  <c r="Q404" i="10" s="1"/>
  <c r="Q429" i="10" a="1"/>
  <c r="Q429" i="10" s="1"/>
  <c r="M454" i="10" a="1"/>
  <c r="M454" i="10" s="1"/>
  <c r="Q479" i="10" a="1"/>
  <c r="Q479" i="10" s="1"/>
  <c r="Q398" i="10" a="1"/>
  <c r="Q398" i="10" s="1"/>
  <c r="Q423" i="10" a="1"/>
  <c r="Q423" i="10" s="1"/>
  <c r="M448" i="10" a="1"/>
  <c r="M448" i="10" s="1"/>
  <c r="Q461" i="10" a="1"/>
  <c r="Q461" i="10" s="1"/>
  <c r="M409" i="10" a="1"/>
  <c r="M409" i="10" s="1"/>
  <c r="Q454" i="10" a="1"/>
  <c r="Q454" i="10" s="1"/>
  <c r="Q396" i="10" a="1"/>
  <c r="Q396" i="10" s="1"/>
  <c r="Q419" i="10" a="1"/>
  <c r="Q419" i="10" s="1"/>
  <c r="Q416" i="10" a="1"/>
  <c r="Q416" i="10" s="1"/>
  <c r="Q441" i="10" a="1"/>
  <c r="Q441" i="10" s="1"/>
  <c r="Q410" i="10" a="1"/>
  <c r="Q410" i="10" s="1"/>
  <c r="Q435" i="10" a="1"/>
  <c r="Q435" i="10" s="1"/>
  <c r="M460" i="10" a="1"/>
  <c r="M460" i="10" s="1"/>
  <c r="Q473" i="10" a="1"/>
  <c r="Q473" i="10" s="1"/>
  <c r="M391" i="10" a="1"/>
  <c r="M391" i="10" s="1"/>
  <c r="H19" i="4"/>
  <c r="H31" i="4"/>
  <c r="H63" i="4"/>
  <c r="Q418" i="10" a="1"/>
  <c r="Q418" i="10" s="1"/>
  <c r="Q448" i="10" a="1"/>
  <c r="Q448" i="10" s="1"/>
  <c r="M480" i="10" a="1"/>
  <c r="M480" i="10" s="1"/>
  <c r="Q393" i="10" a="1"/>
  <c r="Q393" i="10" s="1"/>
  <c r="M449" i="10" a="1"/>
  <c r="M449" i="10" s="1"/>
  <c r="M471" i="10" a="1"/>
  <c r="M471" i="10" s="1"/>
  <c r="Q428" i="10" a="1"/>
  <c r="Q428" i="10" s="1"/>
  <c r="Q453" i="10" a="1"/>
  <c r="Q453" i="10" s="1"/>
  <c r="M478" i="10" a="1"/>
  <c r="M478" i="10" s="1"/>
  <c r="M397" i="10" a="1"/>
  <c r="M397" i="10" s="1"/>
  <c r="Q422" i="10" a="1"/>
  <c r="Q422" i="10" s="1"/>
  <c r="Q447" i="10" a="1"/>
  <c r="Q447" i="10" s="1"/>
  <c r="Q403" i="10" a="1"/>
  <c r="Q403" i="10" s="1"/>
  <c r="Q440" i="10" a="1"/>
  <c r="Q440" i="10" s="1"/>
  <c r="Q465" i="10" a="1"/>
  <c r="Q465" i="10" s="1"/>
  <c r="Q467" i="10" a="1"/>
  <c r="Q467" i="10" s="1"/>
  <c r="M396" i="10" a="1"/>
  <c r="M396" i="10" s="1"/>
  <c r="Q409" i="10" a="1"/>
  <c r="Q409" i="10" s="1"/>
  <c r="Q434" i="10" a="1"/>
  <c r="Q434" i="10" s="1"/>
  <c r="Q459" i="10" a="1"/>
  <c r="Q459" i="10" s="1"/>
  <c r="M415" i="10" a="1"/>
  <c r="M415" i="10" s="1"/>
  <c r="Q452" i="10" a="1"/>
  <c r="Q452" i="10" s="1"/>
  <c r="Q477" i="10" a="1"/>
  <c r="Q477" i="10" s="1"/>
  <c r="Q408" i="10" a="1"/>
  <c r="Q408" i="10" s="1"/>
  <c r="Q421" i="10" a="1"/>
  <c r="Q421" i="10" s="1"/>
  <c r="Q446" i="10" a="1"/>
  <c r="Q446" i="10" s="1"/>
  <c r="Q471" i="10" a="1"/>
  <c r="Q471" i="10" s="1"/>
  <c r="Q390" i="10" a="1"/>
  <c r="Q390" i="10" s="1"/>
  <c r="Q427" i="10" a="1"/>
  <c r="Q427" i="10" s="1"/>
  <c r="H55" i="4"/>
  <c r="H11" i="4"/>
  <c r="H59" i="4"/>
  <c r="Q438" i="10" a="1"/>
  <c r="Q438" i="10" s="1"/>
  <c r="M457" i="10" a="1"/>
  <c r="M457" i="10" s="1"/>
  <c r="Q430" i="10" a="1"/>
  <c r="Q430" i="10" s="1"/>
  <c r="M444" i="10" a="1"/>
  <c r="M444" i="10" s="1"/>
  <c r="M437" i="10" a="1"/>
  <c r="M437" i="10" s="1"/>
  <c r="M398" i="10" a="1"/>
  <c r="M398" i="10" s="1"/>
  <c r="M447" i="10" a="1"/>
  <c r="M447" i="10" s="1"/>
  <c r="M467" i="10" a="1"/>
  <c r="M467" i="10" s="1"/>
  <c r="Q464" i="10" a="1"/>
  <c r="Q464" i="10" s="1"/>
  <c r="Q420" i="10" a="1"/>
  <c r="Q420" i="10" s="1"/>
  <c r="Q433" i="10" a="1"/>
  <c r="Q433" i="10" s="1"/>
  <c r="Q458" i="10" a="1"/>
  <c r="Q458" i="10" s="1"/>
  <c r="Q402" i="10" a="1"/>
  <c r="Q402" i="10" s="1"/>
  <c r="Q439" i="10" a="1"/>
  <c r="Q439" i="10" s="1"/>
  <c r="Q450" i="10" a="1"/>
  <c r="Q450" i="10" s="1"/>
  <c r="M433" i="10" a="1"/>
  <c r="M433" i="10" s="1"/>
  <c r="Q424" i="10" a="1"/>
  <c r="Q424" i="10" s="1"/>
  <c r="M432" i="10" a="1"/>
  <c r="M432" i="10" s="1"/>
  <c r="M404" i="10" a="1"/>
  <c r="M404" i="10" s="1"/>
  <c r="M455" i="10" a="1"/>
  <c r="M455" i="10" s="1"/>
  <c r="M416" i="10" a="1"/>
  <c r="M416" i="10" s="1"/>
  <c r="M439" i="10" a="1"/>
  <c r="M439" i="10" s="1"/>
  <c r="Q476" i="10" a="1"/>
  <c r="Q476" i="10" s="1"/>
  <c r="Q395" i="10" a="1"/>
  <c r="Q395" i="10" s="1"/>
  <c r="Q432" i="10" a="1"/>
  <c r="Q432" i="10" s="1"/>
  <c r="Q445" i="10" a="1"/>
  <c r="Q445" i="10" s="1"/>
  <c r="Q389" i="10" a="1"/>
  <c r="Q389" i="10" s="1"/>
  <c r="Q414" i="10" a="1"/>
  <c r="Q414" i="10" s="1"/>
  <c r="Q451" i="10" a="1"/>
  <c r="Q451" i="10" s="1"/>
  <c r="M408" i="10" a="1"/>
  <c r="M408" i="10" s="1"/>
  <c r="Q412" i="10" a="1"/>
  <c r="Q412" i="10" s="1"/>
  <c r="M420" i="10" a="1"/>
  <c r="M420" i="10" s="1"/>
  <c r="Q407" i="10" a="1"/>
  <c r="Q407" i="10" s="1"/>
  <c r="M427" i="10" a="1"/>
  <c r="M427" i="10" s="1"/>
  <c r="M388" i="10" a="1"/>
  <c r="M388" i="10" s="1"/>
  <c r="M410" i="10" a="1"/>
  <c r="M410" i="10" s="1"/>
  <c r="Q386" i="10" a="1"/>
  <c r="Q386" i="10" s="1"/>
  <c r="Q394" i="10" a="1"/>
  <c r="Q394" i="10" s="1"/>
  <c r="M407" i="10" a="1"/>
  <c r="M407" i="10" s="1"/>
  <c r="Q444" i="10" a="1"/>
  <c r="Q444" i="10" s="1"/>
  <c r="Q457" i="10" a="1"/>
  <c r="Q457" i="10" s="1"/>
  <c r="Q388" i="10" a="1"/>
  <c r="Q388" i="10" s="1"/>
  <c r="Q401" i="10" a="1"/>
  <c r="Q401" i="10" s="1"/>
  <c r="M426" i="10" a="1"/>
  <c r="M426" i="10" s="1"/>
  <c r="Q463" i="10" a="1"/>
  <c r="Q463" i="10" s="1"/>
  <c r="Q413" i="10" a="1"/>
  <c r="Q413" i="10" s="1"/>
  <c r="M406" i="10" a="1"/>
  <c r="M406" i="10" s="1"/>
  <c r="Q397" i="10" a="1"/>
  <c r="Q397" i="10" s="1"/>
  <c r="Q417" i="10" a="1"/>
  <c r="Q417" i="10" s="1"/>
  <c r="M463" i="10" a="1"/>
  <c r="M463" i="10" s="1"/>
  <c r="Q387" i="10" a="1"/>
  <c r="Q387" i="10" s="1"/>
  <c r="Q425" i="10" a="1"/>
  <c r="Q425" i="10" s="1"/>
  <c r="M390" i="10" a="1"/>
  <c r="M390" i="10" s="1"/>
  <c r="Q406" i="10" a="1"/>
  <c r="Q406" i="10" s="1"/>
  <c r="M419" i="10" a="1"/>
  <c r="M419" i="10" s="1"/>
  <c r="Q456" i="10" a="1"/>
  <c r="Q456" i="10" s="1"/>
  <c r="Q469" i="10" a="1"/>
  <c r="Q469" i="10" s="1"/>
  <c r="M400" i="10" a="1"/>
  <c r="M400" i="10" s="1"/>
  <c r="M413" i="10" a="1"/>
  <c r="M413" i="10" s="1"/>
  <c r="M438" i="10" a="1"/>
  <c r="M438" i="10" s="1"/>
  <c r="Q475" i="10" a="1"/>
  <c r="Q475" i="10" s="1"/>
  <c r="M393" i="10" a="1"/>
  <c r="M393" i="10" s="1"/>
  <c r="M418" i="10" a="1"/>
  <c r="M418" i="10" s="1"/>
  <c r="Q431" i="10" a="1"/>
  <c r="Q431" i="10" s="1"/>
  <c r="Q468" i="10" a="1"/>
  <c r="Q468" i="10" s="1"/>
  <c r="Q481" i="10" a="1"/>
  <c r="Q481" i="10" s="1"/>
  <c r="M387" i="10" a="1"/>
  <c r="M387" i="10" s="1"/>
  <c r="M412" i="10" a="1"/>
  <c r="M412" i="10" s="1"/>
  <c r="M425" i="10" a="1"/>
  <c r="M425" i="10" s="1"/>
  <c r="M450" i="10" a="1"/>
  <c r="M450" i="10" s="1"/>
  <c r="L15" i="4"/>
  <c r="L16" i="4"/>
  <c r="K12" i="4"/>
  <c r="K13" i="4"/>
  <c r="L11" i="4"/>
  <c r="L12" i="4"/>
  <c r="L13" i="4"/>
  <c r="K47" i="4"/>
  <c r="J11" i="4"/>
  <c r="K15" i="4"/>
  <c r="I17" i="4"/>
  <c r="J16" i="4"/>
  <c r="J15" i="4"/>
  <c r="M14" i="4"/>
  <c r="M8" i="4"/>
  <c r="N394" i="10" l="1"/>
  <c r="N392" i="10"/>
  <c r="N395" i="10"/>
  <c r="N396" i="10"/>
  <c r="N393" i="10"/>
  <c r="N397" i="10"/>
  <c r="N478" i="10"/>
  <c r="N479" i="10"/>
  <c r="N480" i="10"/>
  <c r="N477" i="10"/>
  <c r="N481" i="10"/>
  <c r="N476" i="10"/>
  <c r="N389" i="10"/>
  <c r="N391" i="10"/>
  <c r="N388" i="10"/>
  <c r="N386" i="10"/>
  <c r="N387" i="10"/>
  <c r="N390" i="10"/>
  <c r="N470" i="10"/>
  <c r="N472" i="10"/>
  <c r="N473" i="10"/>
  <c r="N475" i="10"/>
  <c r="N474" i="10"/>
  <c r="N471" i="10"/>
  <c r="N454" i="10"/>
  <c r="N455" i="10"/>
  <c r="N456" i="10"/>
  <c r="N453" i="10"/>
  <c r="N457" i="10"/>
  <c r="N452" i="10"/>
  <c r="N398" i="10"/>
  <c r="N399" i="10"/>
  <c r="N400" i="10"/>
  <c r="N401" i="10"/>
  <c r="N403" i="10"/>
  <c r="N402" i="10"/>
  <c r="N442" i="10"/>
  <c r="N443" i="10"/>
  <c r="N444" i="10"/>
  <c r="N441" i="10"/>
  <c r="N445" i="10"/>
  <c r="N440" i="10"/>
  <c r="N422" i="10"/>
  <c r="N423" i="10"/>
  <c r="N424" i="10"/>
  <c r="N425" i="10"/>
  <c r="N427" i="10"/>
  <c r="N426" i="10"/>
  <c r="N458" i="10"/>
  <c r="N459" i="10"/>
  <c r="N460" i="10"/>
  <c r="N461" i="10"/>
  <c r="N463" i="10"/>
  <c r="N462" i="10"/>
  <c r="N430" i="10"/>
  <c r="N431" i="10"/>
  <c r="N432" i="10"/>
  <c r="N429" i="10"/>
  <c r="N433" i="10"/>
  <c r="N428" i="10"/>
  <c r="N466" i="10"/>
  <c r="N467" i="10"/>
  <c r="N468" i="10"/>
  <c r="N465" i="10"/>
  <c r="N469" i="10"/>
  <c r="N464" i="10"/>
  <c r="N410" i="10"/>
  <c r="N411" i="10"/>
  <c r="N412" i="10"/>
  <c r="N415" i="10"/>
  <c r="N413" i="10"/>
  <c r="N414" i="10"/>
  <c r="N406" i="10"/>
  <c r="N404" i="10"/>
  <c r="N407" i="10"/>
  <c r="N408" i="10"/>
  <c r="N405" i="10"/>
  <c r="N409" i="10"/>
  <c r="N446" i="10"/>
  <c r="N447" i="10"/>
  <c r="N448" i="10"/>
  <c r="N449" i="10"/>
  <c r="N451" i="10"/>
  <c r="N450" i="10"/>
  <c r="N418" i="10"/>
  <c r="N419" i="10"/>
  <c r="N420" i="10"/>
  <c r="N417" i="10"/>
  <c r="N421" i="10"/>
  <c r="N416" i="10"/>
  <c r="N434" i="10"/>
  <c r="N435" i="10"/>
  <c r="N436" i="10"/>
  <c r="N437" i="10"/>
  <c r="N439" i="10"/>
  <c r="N438" i="10"/>
  <c r="M16" i="4"/>
  <c r="M12" i="4"/>
  <c r="L47" i="4"/>
  <c r="M47" i="4" s="1"/>
  <c r="K17" i="4"/>
  <c r="L17" i="4"/>
  <c r="J17" i="4"/>
  <c r="M17" i="4" s="1"/>
  <c r="M15" i="4"/>
  <c r="M11" i="4"/>
  <c r="M10" i="4"/>
  <c r="M13" i="4"/>
  <c r="K48" i="4" l="1"/>
  <c r="L48" i="4" s="1"/>
  <c r="M48" i="4" s="1"/>
  <c r="K49" i="4"/>
  <c r="L49" i="4" s="1"/>
  <c r="M4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Senshi Kudo</author>
  </authors>
  <commentList>
    <comment ref="A7" authorId="0" shapeId="0" xr:uid="{C9A637EC-41A7-45DF-BECA-C648D7535592}">
      <text>
        <r>
          <rPr>
            <i/>
            <sz val="9"/>
            <color indexed="81"/>
            <rFont val="Tahoma"/>
            <family val="2"/>
          </rPr>
          <t>(Please, input data below, or clear cells to use assumed distribution, shown in "all_inputs" sheet)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<sst xmlns="http://schemas.openxmlformats.org/spreadsheetml/2006/main" count="4312" uniqueCount="505">
  <si>
    <t>scaleup_begin</t>
  </si>
  <si>
    <t>scaleup_end</t>
  </si>
  <si>
    <t>setting</t>
  </si>
  <si>
    <t>UMIC</t>
  </si>
  <si>
    <t>cause</t>
  </si>
  <si>
    <t>target_tp</t>
  </si>
  <si>
    <t>effect</t>
  </si>
  <si>
    <t>bsln_init_ttt</t>
  </si>
  <si>
    <t>bsln_adh_ttt</t>
  </si>
  <si>
    <t>trgt_init_ttt</t>
  </si>
  <si>
    <t>trgt_adh_ttt</t>
  </si>
  <si>
    <t>include</t>
  </si>
  <si>
    <t>Bladder cancer</t>
  </si>
  <si>
    <t>well-to-precancer</t>
  </si>
  <si>
    <t>well-to-local</t>
  </si>
  <si>
    <t>precancer-to-local</t>
  </si>
  <si>
    <t>local-to-regional</t>
  </si>
  <si>
    <t>regional-to-distant</t>
  </si>
  <si>
    <t>distant-to-dead</t>
  </si>
  <si>
    <t>Breast cancer</t>
  </si>
  <si>
    <t>Cervical cancer</t>
  </si>
  <si>
    <t>Colon and rectum cancer</t>
  </si>
  <si>
    <t>Esophageal cancer</t>
  </si>
  <si>
    <t>Lip and oral cavity cancer</t>
  </si>
  <si>
    <t>Liver cancer</t>
  </si>
  <si>
    <t>Nasopharynx cancer</t>
  </si>
  <si>
    <t>Other pharynx cancer</t>
  </si>
  <si>
    <t>Ovarian cancer</t>
  </si>
  <si>
    <t>Pancreatic cancer</t>
  </si>
  <si>
    <t>Prostate cancer</t>
  </si>
  <si>
    <t>Stomach cancer</t>
  </si>
  <si>
    <t>Thyroid cancer</t>
  </si>
  <si>
    <t>Tracheal, bronchus, and lung cancer</t>
  </si>
  <si>
    <t>Uterine cancer</t>
  </si>
  <si>
    <t>Targets</t>
  </si>
  <si>
    <t>screening coverage</t>
  </si>
  <si>
    <t>HIC</t>
  </si>
  <si>
    <t>Diagnoses coverage</t>
  </si>
  <si>
    <t>Early detection prop</t>
  </si>
  <si>
    <t>LMIC</t>
  </si>
  <si>
    <t>Linkage to care</t>
  </si>
  <si>
    <t>LIC</t>
  </si>
  <si>
    <t>Retention in care</t>
  </si>
  <si>
    <t>Intervention</t>
  </si>
  <si>
    <t>Setting</t>
  </si>
  <si>
    <t>Scaleup</t>
  </si>
  <si>
    <t>Screened</t>
  </si>
  <si>
    <t>Diagnosed</t>
  </si>
  <si>
    <t>Treated</t>
  </si>
  <si>
    <t>Completed</t>
  </si>
  <si>
    <t>Precancer</t>
  </si>
  <si>
    <t>Local</t>
  </si>
  <si>
    <t>Regional</t>
  </si>
  <si>
    <t>Distant</t>
  </si>
  <si>
    <t>Total</t>
  </si>
  <si>
    <t>No</t>
  </si>
  <si>
    <t>begin</t>
  </si>
  <si>
    <t>Yes</t>
  </si>
  <si>
    <t>end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</si>
  <si>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</si>
  <si>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</si>
  <si>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</si>
  <si>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</si>
  <si>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</si>
  <si>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</si>
  <si>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</si>
  <si>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</si>
  <si>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</si>
  <si>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</si>
  <si>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</si>
  <si>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</si>
  <si>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</si>
  <si>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</si>
  <si>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</si>
  <si>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</si>
  <si>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</si>
  <si>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</si>
  <si>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</si>
  <si>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</si>
  <si>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</si>
  <si>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</si>
  <si>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</si>
  <si>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</si>
  <si>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</si>
  <si>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</si>
  <si>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</si>
  <si>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</si>
  <si>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</si>
  <si>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</si>
  <si>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</si>
  <si>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</si>
  <si>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</si>
  <si>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</si>
  <si>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</si>
  <si>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</si>
  <si>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</si>
  <si>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</si>
  <si>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</si>
  <si>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</si>
  <si>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</si>
  <si>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</si>
  <si>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</si>
  <si>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</si>
  <si>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</si>
  <si>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</si>
  <si>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</si>
  <si>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</si>
  <si>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</si>
  <si>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</si>
  <si>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</si>
  <si>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</si>
  <si>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</si>
  <si>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</si>
  <si>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</si>
  <si>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</si>
  <si>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</si>
  <si>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</si>
  <si>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</si>
  <si>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</si>
  <si>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</si>
  <si>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</si>
  <si>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</si>
  <si>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</si>
  <si>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</si>
  <si>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</si>
  <si>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</si>
  <si>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</si>
  <si>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</si>
  <si>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</si>
  <si>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</si>
  <si>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</si>
  <si>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</si>
  <si>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</si>
  <si>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</si>
  <si>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</si>
  <si>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</si>
  <si>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</si>
  <si>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</si>
  <si>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</si>
  <si>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</si>
  <si>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</si>
  <si>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</si>
  <si>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</si>
  <si>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</si>
  <si>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</si>
  <si>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</si>
  <si>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</si>
  <si>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</si>
  <si>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</si>
  <si>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</si>
  <si>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</si>
  <si>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</si>
  <si>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</si>
  <si>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</si>
  <si>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</si>
  <si>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</si>
  <si>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</si>
  <si>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</si>
  <si>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</si>
  <si>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</si>
  <si>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</si>
  <si>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</si>
  <si>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</si>
  <si>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</si>
  <si>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</si>
  <si>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</si>
  <si>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</si>
  <si>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</si>
  <si>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</si>
  <si>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</si>
  <si>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</si>
  <si>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</si>
  <si>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</si>
  <si>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</si>
  <si>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</si>
  <si>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</si>
  <si>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</si>
  <si>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</si>
  <si>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</si>
  <si>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</si>
  <si>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</si>
  <si>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</si>
  <si>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</si>
  <si>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</si>
  <si>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</si>
  <si>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</si>
  <si>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</si>
  <si>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</si>
  <si>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</si>
  <si>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</si>
  <si>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</si>
  <si>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</si>
  <si>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</si>
  <si>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</si>
  <si>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</si>
  <si>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</si>
  <si>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</si>
  <si>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</si>
  <si>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</si>
  <si>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</si>
  <si>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</si>
  <si>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</si>
  <si>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</si>
  <si>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</si>
  <si>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</si>
  <si>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</si>
  <si>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</si>
  <si>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</si>
  <si>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</si>
  <si>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</si>
  <si>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</si>
  <si>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</si>
  <si>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</si>
  <si>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</si>
  <si>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</si>
  <si>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</si>
  <si>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</si>
  <si>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</si>
  <si>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</si>
  <si>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</si>
  <si>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</si>
  <si>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</si>
  <si>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</si>
  <si>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</si>
  <si>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</si>
  <si>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</si>
  <si>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</si>
  <si>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</si>
  <si>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</si>
  <si>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</si>
  <si>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</si>
  <si>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</si>
  <si>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</si>
  <si>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</si>
  <si>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</si>
  <si>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</si>
  <si>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</si>
  <si>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</si>
  <si>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</si>
  <si>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</si>
  <si>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</si>
  <si>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</si>
  <si>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Virgin Islands</t>
  </si>
  <si>
    <t>Yemen</t>
  </si>
  <si>
    <t>Zambia</t>
  </si>
  <si>
    <t>Zimbabwe</t>
  </si>
  <si>
    <t>location</t>
  </si>
  <si>
    <t>Code</t>
  </si>
  <si>
    <t>AFG</t>
  </si>
  <si>
    <t>ALB</t>
  </si>
  <si>
    <t>DZA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</si>
  <si>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</si>
  <si>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</si>
  <si>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</si>
  <si>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</si>
  <si>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</si>
  <si>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</si>
  <si>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</si>
  <si>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</si>
  <si>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</si>
  <si>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</si>
  <si>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</si>
  <si>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</si>
  <si>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</si>
  <si>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</si>
  <si>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</si>
  <si>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</si>
  <si>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</si>
  <si>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</si>
  <si>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</si>
  <si>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</si>
  <si>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</si>
  <si>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</si>
  <si>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</si>
  <si>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</si>
  <si>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</si>
  <si>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</si>
  <si>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</si>
  <si>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</si>
  <si>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CAF</t>
  </si>
  <si>
    <t>TCD</t>
  </si>
  <si>
    <t>CHL</t>
  </si>
  <si>
    <t>CHN</t>
  </si>
  <si>
    <t>COL</t>
  </si>
  <si>
    <t>COM</t>
  </si>
  <si>
    <t>COG</t>
  </si>
  <si>
    <t>CRI</t>
  </si>
  <si>
    <t>CIV</t>
  </si>
  <si>
    <t>HRV</t>
  </si>
  <si>
    <t>CUB</t>
  </si>
  <si>
    <t>CYP</t>
  </si>
  <si>
    <t>CZE</t>
  </si>
  <si>
    <t>COD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</si>
  <si>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</si>
  <si>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</si>
  <si>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</si>
  <si>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</si>
  <si>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</si>
  <si>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</si>
  <si>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</si>
  <si>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</si>
  <si>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</si>
  <si>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</si>
  <si>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</si>
  <si>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</si>
  <si>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</si>
  <si>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</si>
  <si>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</si>
  <si>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</si>
  <si>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</si>
  <si>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</si>
  <si>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</si>
  <si>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</si>
  <si>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</si>
  <si>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</si>
  <si>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GUM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</si>
  <si>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</si>
  <si>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</si>
  <si>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</si>
  <si>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</si>
  <si>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</si>
  <si>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</si>
  <si>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</si>
  <si>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</si>
  <si>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</si>
  <si>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</si>
  <si>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</si>
  <si>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</si>
  <si>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</si>
  <si>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</si>
  <si>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</si>
  <si>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</si>
  <si>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</si>
  <si>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</si>
  <si>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</si>
  <si>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</si>
  <si>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</si>
  <si>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</si>
  <si>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</si>
  <si>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</si>
  <si>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</si>
  <si>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</si>
  <si>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</si>
  <si>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</si>
  <si>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</si>
  <si>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</si>
  <si>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</si>
  <si>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MKD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</si>
  <si>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</si>
  <si>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</si>
  <si>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</si>
  <si>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</si>
  <si>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</si>
  <si>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</si>
  <si>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</si>
  <si>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</si>
  <si>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</si>
  <si>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</si>
  <si>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</si>
  <si>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</si>
  <si>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</si>
  <si>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</si>
  <si>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</si>
  <si>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</si>
  <si>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</si>
  <si>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</si>
  <si>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</si>
  <si>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</si>
  <si>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</si>
  <si>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</si>
  <si>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</si>
  <si>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PRK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</si>
  <si>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</si>
  <si>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</si>
  <si>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</si>
  <si>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</si>
  <si>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</si>
  <si>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</si>
  <si>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</si>
  <si>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</si>
  <si>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</si>
  <si>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</si>
  <si>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</si>
  <si>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</si>
  <si>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</si>
  <si>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</si>
  <si>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</si>
  <si>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</si>
  <si>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LCA</t>
  </si>
  <si>
    <t>VCT</t>
  </si>
  <si>
    <t>ASM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</si>
  <si>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</si>
  <si>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</si>
  <si>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</si>
  <si>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</si>
  <si>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</si>
  <si>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</si>
  <si>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</si>
  <si>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</si>
  <si>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</si>
  <si>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</si>
  <si>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</si>
  <si>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</si>
  <si>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</si>
  <si>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</si>
  <si>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</si>
  <si>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</si>
  <si>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</si>
  <si>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</si>
  <si>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</si>
  <si>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</si>
  <si>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</si>
  <si>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</si>
  <si>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</si>
  <si>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</si>
  <si>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</si>
  <si>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</si>
  <si>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</si>
  <si>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</si>
  <si>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</si>
  <si>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</si>
  <si>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</si>
  <si>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</si>
  <si>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</si>
  <si>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</si>
  <si>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</si>
  <si>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</si>
  <si>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</si>
  <si>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</si>
  <si>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</si>
  <si>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</si>
  <si>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</si>
  <si>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</si>
  <si>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</si>
  <si>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YEM</t>
  </si>
  <si>
    <t>ZMB</t>
  </si>
  <si>
    <t>ZWE</t>
  </si>
  <si>
    <t>Intervention pacakges</t>
  </si>
  <si>
    <t>Tobacco control</t>
  </si>
  <si>
    <t>Alcohol control</t>
  </si>
  <si>
    <t>Standard of care treatment</t>
  </si>
  <si>
    <t xml:space="preserve">Palliative care </t>
  </si>
  <si>
    <t>Cancer</t>
  </si>
  <si>
    <t>Country</t>
  </si>
  <si>
    <t xml:space="preserve">Bladder cancer </t>
  </si>
  <si>
    <t>Scaleup end</t>
  </si>
  <si>
    <t>effect_on_tp0</t>
  </si>
  <si>
    <t>effect_on_tp1</t>
  </si>
  <si>
    <t>effect_on_tp1_cat3</t>
  </si>
  <si>
    <t>effect_on_tp2</t>
  </si>
  <si>
    <t>effect_on_tp3</t>
  </si>
  <si>
    <t>effect_on_cfr</t>
  </si>
  <si>
    <t>Cat 1</t>
  </si>
  <si>
    <t>Cat 2</t>
  </si>
  <si>
    <t>Cat 3</t>
  </si>
  <si>
    <t>intervention</t>
  </si>
  <si>
    <t>include?</t>
  </si>
  <si>
    <t>% (select)</t>
  </si>
  <si>
    <t>Tobacco excise tax (% final retail price)</t>
  </si>
  <si>
    <t>Tobacco regulations - advertising, front-of-pack labeling</t>
  </si>
  <si>
    <t>Tobacco mass media campaigns</t>
  </si>
  <si>
    <t>Alcohol excise tax (% final retail price)</t>
  </si>
  <si>
    <t>Alcohol regulations - advertising, sales</t>
  </si>
  <si>
    <t>Alcohol mass media campaigns</t>
  </si>
  <si>
    <t>current coverage</t>
  </si>
  <si>
    <t>target coverage</t>
  </si>
  <si>
    <t>tp1</t>
  </si>
  <si>
    <t>tp2</t>
  </si>
  <si>
    <t>tp3</t>
  </si>
  <si>
    <t>cfr</t>
  </si>
  <si>
    <t>category</t>
  </si>
  <si>
    <t>tag</t>
  </si>
  <si>
    <t>tp0</t>
  </si>
  <si>
    <t>Palliative care</t>
  </si>
  <si>
    <t>bsln_precancer</t>
  </si>
  <si>
    <t>bsln_local</t>
  </si>
  <si>
    <t>bsln_regional</t>
  </si>
  <si>
    <t>bsln_distant</t>
  </si>
  <si>
    <t>trgt_precancer</t>
  </si>
  <si>
    <t>trgt_local</t>
  </si>
  <si>
    <t>trgt_regional</t>
  </si>
  <si>
    <t>trgt_distant</t>
  </si>
  <si>
    <t>Cancer type</t>
  </si>
  <si>
    <t>year</t>
  </si>
  <si>
    <t>Start year - intervention scale up</t>
  </si>
  <si>
    <t>End year - intervention scale up</t>
  </si>
  <si>
    <t>3.  Cancer prevention</t>
  </si>
  <si>
    <t>4. Cancer treatment</t>
  </si>
  <si>
    <t>5. Cancer palliation</t>
  </si>
  <si>
    <t>2. Cancer stage distribution</t>
  </si>
  <si>
    <t>Check</t>
  </si>
  <si>
    <t>1. Setting</t>
  </si>
  <si>
    <t>Stage distribution</t>
  </si>
  <si>
    <t>Assumed</t>
  </si>
  <si>
    <t>User-defined</t>
  </si>
  <si>
    <t>bsln_scrn</t>
  </si>
  <si>
    <t>bsln_diag</t>
  </si>
  <si>
    <t>trgt_diag</t>
  </si>
  <si>
    <t>WB income setting</t>
  </si>
  <si>
    <t>trgt_scrn</t>
  </si>
  <si>
    <t>Target</t>
  </si>
  <si>
    <t>Baseline initiation coverage</t>
  </si>
  <si>
    <t>Baseline effective coverage</t>
  </si>
  <si>
    <t>Target initiation coverage</t>
  </si>
  <si>
    <t>Target effective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</si>
</sst>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sz val="11"/>
      <color theme="1"/>
      <name val="Arial"/>
      <family val="2"/>
    </font>
    <font>
      <sz val="11"/>
      <color theme="0" tint="-0.499984740745262"/>
      <name val="Arial"/>
      <family val="2"/>
    </font>
    <font>
      <sz val="8"/>
      <name val="Aptos Narrow"/>
      <family val="2"/>
      <scheme val="minor"/>
    </font>
    <font>
      <b/>
      <sz val="11"/>
      <color theme="0" tint="-0.499984740745262"/>
      <name val="Arial"/>
      <family val="2"/>
    </font>
    <font>
      <sz val="11"/>
      <color rgb="FF000000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9"/>
      <color indexed="81"/>
      <name val="Tahoma"/>
      <family val="2"/>
    </font>
    <font>
      <b/>
      <i/>
      <sz val="11"/>
      <color theme="0" tint="-0.34998626667073579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/>
    <xf numFmtId="0" fontId="0" fillId="0" borderId="2" xfId="0" applyBorder="1"/>
    <xf numFmtId="0" fontId="2" fillId="0" borderId="0" xfId="0" applyFont="1"/>
    <xf numFmtId="0" fontId="3" fillId="2" borderId="0" xfId="0" applyFont="1" applyFill="1"/>
    <xf numFmtId="0" fontId="3" fillId="2" borderId="2" xfId="0" applyFont="1" applyFill="1" applyBorder="1"/>
    <xf numFmtId="0" fontId="4" fillId="2" borderId="1" xfId="0" applyFont="1" applyFill="1" applyBorder="1"/>
    <xf numFmtId="9" fontId="3" fillId="2" borderId="0" xfId="0" applyNumberFormat="1" applyFont="1" applyFill="1"/>
    <xf numFmtId="9" fontId="3" fillId="2" borderId="0" xfId="1" applyFont="1" applyFill="1"/>
    <xf numFmtId="9" fontId="3" fillId="2" borderId="2" xfId="0" applyNumberFormat="1" applyFont="1" applyFill="1" applyBorder="1"/>
    <xf numFmtId="9" fontId="3" fillId="2" borderId="2" xfId="1" applyFont="1" applyFill="1" applyBorder="1"/>
    <xf numFmtId="164" fontId="3" fillId="2" borderId="0" xfId="1" applyNumberFormat="1" applyFont="1" applyFill="1"/>
    <xf numFmtId="164" fontId="3" fillId="2" borderId="2" xfId="1" applyNumberFormat="1" applyFont="1" applyFill="1" applyBorder="1"/>
    <xf numFmtId="164" fontId="3" fillId="2" borderId="0" xfId="0" applyNumberFormat="1" applyFont="1" applyFill="1"/>
    <xf numFmtId="164" fontId="3" fillId="2" borderId="2" xfId="0" applyNumberFormat="1" applyFont="1" applyFill="1" applyBorder="1"/>
    <xf numFmtId="0" fontId="4" fillId="2" borderId="0" xfId="0" applyFont="1" applyFill="1"/>
    <xf numFmtId="0" fontId="5" fillId="0" borderId="0" xfId="0" applyFont="1"/>
    <xf numFmtId="0" fontId="6" fillId="2" borderId="0" xfId="0" applyFont="1" applyFill="1"/>
    <xf numFmtId="0" fontId="0" fillId="0" borderId="0" xfId="0" applyAlignment="1">
      <alignment horizontal="left"/>
    </xf>
    <xf numFmtId="0" fontId="8" fillId="2" borderId="0" xfId="0" applyFont="1" applyFill="1"/>
    <xf numFmtId="0" fontId="9" fillId="0" borderId="0" xfId="0" applyFont="1"/>
    <xf numFmtId="0" fontId="3" fillId="4" borderId="0" xfId="0" applyFont="1" applyFill="1"/>
    <xf numFmtId="0" fontId="3" fillId="4" borderId="2" xfId="0" applyFont="1" applyFill="1" applyBorder="1"/>
    <xf numFmtId="0" fontId="9" fillId="3" borderId="0" xfId="0" applyFont="1" applyFill="1"/>
    <xf numFmtId="0" fontId="10" fillId="2" borderId="0" xfId="0" applyFont="1" applyFill="1"/>
    <xf numFmtId="0" fontId="11" fillId="2" borderId="1" xfId="0" applyFont="1" applyFill="1" applyBorder="1"/>
    <xf numFmtId="9" fontId="12" fillId="2" borderId="0" xfId="0" applyNumberFormat="1" applyFont="1" applyFill="1"/>
    <xf numFmtId="9" fontId="12" fillId="2" borderId="2" xfId="0" applyNumberFormat="1" applyFont="1" applyFill="1" applyBorder="1"/>
    <xf numFmtId="0" fontId="12" fillId="2" borderId="0" xfId="0" applyFont="1" applyFill="1"/>
    <xf numFmtId="0" fontId="12" fillId="2" borderId="2" xfId="0" applyFont="1" applyFill="1" applyBorder="1"/>
    <xf numFmtId="9" fontId="12" fillId="2" borderId="0" xfId="1" applyFont="1" applyFill="1"/>
    <xf numFmtId="9" fontId="12" fillId="2" borderId="2" xfId="1" applyFont="1" applyFill="1" applyBorder="1"/>
    <xf numFmtId="0" fontId="14" fillId="0" borderId="0" xfId="0" applyFont="1"/>
    <xf numFmtId="9" fontId="14" fillId="0" borderId="0" xfId="0" applyNumberFormat="1" applyFont="1"/>
    <xf numFmtId="9" fontId="14" fillId="0" borderId="0" xfId="1" applyFont="1" applyFill="1"/>
    <xf numFmtId="164" fontId="14" fillId="0" borderId="0" xfId="1" applyNumberFormat="1" applyFont="1" applyFill="1"/>
    <xf numFmtId="0" fontId="0" fillId="0" borderId="1" xfId="0" applyBorder="1"/>
    <xf numFmtId="0" fontId="0" fillId="0" borderId="0" xfId="0" applyAlignment="1">
      <alignment wrapText="1"/>
    </xf>
    <xf numFmtId="0" fontId="13" fillId="0" borderId="0" xfId="0" applyFont="1"/>
    <xf numFmtId="0" fontId="16" fillId="2" borderId="0" xfId="0" applyFont="1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7" fillId="0" borderId="1" xfId="0" applyFont="1" applyBorder="1"/>
    <xf numFmtId="0" fontId="15" fillId="2" borderId="3" xfId="0" applyFont="1" applyFill="1" applyBorder="1"/>
    <xf numFmtId="0" fontId="16" fillId="2" borderId="3" xfId="0" applyFont="1" applyFill="1" applyBorder="1"/>
    <xf numFmtId="0" fontId="19" fillId="2" borderId="0" xfId="0" applyFont="1" applyFill="1"/>
    <xf numFmtId="9" fontId="20" fillId="2" borderId="0" xfId="0" applyNumberFormat="1" applyFont="1" applyFill="1"/>
    <xf numFmtId="9" fontId="16" fillId="2" borderId="0" xfId="0" applyNumberFormat="1" applyFont="1" applyFill="1"/>
  </cellXfs>
  <cellStyles count="2">
    <cellStyle name="Normal" xfId="0" builtinId="0"/>
    <cellStyle name="Percent" xfId="1" builtinId="5"/>
  </cellStyles>
  <dxfs count="1">
    <dxf>
      <font>
        <color theme="0" tint="-0.34998626667073579"/>
      </font>
      <fill>
        <patternFill>
          <fgColor theme="0" tint="-4.9989318521683403E-2"/>
          <bgColor rgb="FFF2F2F2"/>
        </patternFill>
      </fill>
    </dxf>
  </dxfs>
  <tableStyles count="0" defaultTableStyle="TableStyleMedium2" defaultPivotStyle="PivotStyleLight16"/>
  <colors>
    <mruColors>
      <color rgb="FFF2F2F2"/>
      <color rgb="FFEAEAEA"/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netid-my.sharepoint.com/personal/mta10_uw_edu/Documents/Documents/Dissertation/MA%20dissertation%202024-25%20timeline.xlsx" TargetMode="External"/><Relationship Id="rId1" Type="http://schemas.openxmlformats.org/officeDocument/2006/relationships/externalLinkPath" Target="https://uwnetid-my.sharepoint.com/personal/mta10_uw_edu/Documents/Documents/Dissertation/MA%20dissertation%202024-25%20time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Planner"/>
    </sheetNames>
    <sheetDataSet>
      <sheetData sheetId="0">
        <row r="3">
          <cell r="H3">
            <v>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F95E2-9887-45C7-8ACE-D433E37710D3}">
  <dimension ref="A1:F56"/>
  <sheetViews>
    <sheetView topLeftCell="A35" zoomScaleNormal="100" workbookViewId="0">
      <selection activeCell="B39" sqref="B39"/>
    </sheetView>
  </sheetViews>
  <sheetFormatPr defaultRowHeight="15" x14ac:dyDescent="0.25"/>
  <cols>
    <col min="1" max="1" width="51.85546875" bestFit="1" customWidth="1"/>
    <col min="2" max="5" width="10.7109375" customWidth="1"/>
  </cols>
  <sheetData>
    <row r="1" spans="1:6" ht="15.75" thickBot="1" x14ac:dyDescent="0.3">
      <c r="A1" s="1" t="s">
        <v>491</v>
      </c>
      <c r="B1" s="36"/>
    </row>
    <row r="2" spans="1:6" x14ac:dyDescent="0.25">
      <c r="A2" t="s">
        <v>443</v>
      </c>
      <c r="B2" t="s">
        <v>232</v>
      </c>
    </row>
    <row r="3" spans="1:6" x14ac:dyDescent="0.25">
      <c r="A3" t="s">
        <v>498</v>
      </c>
      <c r="B3" s="4" t="str">
        <f>VLOOKUP(B2,dropdown!M:O,3,FALSE)</f>
        <v>LIC</v>
      </c>
    </row>
    <row r="4" spans="1:6" x14ac:dyDescent="0.25">
      <c r="A4" t="s">
        <v>484</v>
      </c>
      <c r="B4" s="18">
        <v>2025</v>
      </c>
    </row>
    <row r="5" spans="1:6" x14ac:dyDescent="0.25">
      <c r="A5" t="s">
        <v>485</v>
      </c>
      <c r="B5" s="18">
        <v>2050</v>
      </c>
    </row>
    <row r="7" spans="1:6" ht="15.75" thickBot="1" x14ac:dyDescent="0.3">
      <c r="A7" s="1" t="s">
        <v>489</v>
      </c>
      <c r="B7" s="42" t="s">
        <v>493</v>
      </c>
      <c r="C7" s="36"/>
      <c r="D7" s="36"/>
      <c r="E7" s="36"/>
      <c r="F7" s="36"/>
    </row>
    <row r="8" spans="1:6" x14ac:dyDescent="0.25">
      <c r="A8" s="38" t="s">
        <v>4</v>
      </c>
      <c r="B8" s="38" t="s">
        <v>50</v>
      </c>
      <c r="C8" s="38" t="s">
        <v>51</v>
      </c>
      <c r="D8" s="38" t="s">
        <v>52</v>
      </c>
      <c r="E8" s="38" t="s">
        <v>53</v>
      </c>
      <c r="F8" s="45" t="s">
        <v>490</v>
      </c>
    </row>
    <row r="9" spans="1:6" x14ac:dyDescent="0.25">
      <c r="A9" s="32" t="s">
        <v>12</v>
      </c>
      <c r="B9" s="47"/>
      <c r="C9" s="34"/>
      <c r="D9" s="47"/>
      <c r="E9" s="47"/>
      <c r="F9" s="46" t="b">
        <f t="shared" ref="F9:F24" si="0">EXACT(SUM(B9:E9),1)</f>
        <v>0</v>
      </c>
    </row>
    <row r="10" spans="1:6" x14ac:dyDescent="0.25">
      <c r="A10" s="32" t="s">
        <v>19</v>
      </c>
      <c r="B10" s="35"/>
      <c r="C10" s="35"/>
      <c r="D10" s="35"/>
      <c r="E10" s="35"/>
      <c r="F10" s="46" t="b">
        <f t="shared" si="0"/>
        <v>0</v>
      </c>
    </row>
    <row r="11" spans="1:6" x14ac:dyDescent="0.25">
      <c r="A11" s="32" t="s">
        <v>20</v>
      </c>
      <c r="B11" s="33"/>
      <c r="C11" s="35"/>
      <c r="D11" s="35"/>
      <c r="E11" s="35"/>
      <c r="F11" s="46" t="b">
        <f>EXACT(SUM(B11:E11),1)</f>
        <v>0</v>
      </c>
    </row>
    <row r="12" spans="1:6" x14ac:dyDescent="0.25">
      <c r="A12" s="32" t="s">
        <v>21</v>
      </c>
      <c r="B12" s="33"/>
      <c r="C12" s="34"/>
      <c r="D12" s="34"/>
      <c r="E12" s="34"/>
      <c r="F12" s="46" t="b">
        <f t="shared" si="0"/>
        <v>0</v>
      </c>
    </row>
    <row r="13" spans="1:6" x14ac:dyDescent="0.25">
      <c r="A13" s="32" t="s">
        <v>22</v>
      </c>
      <c r="B13" s="47"/>
      <c r="C13" s="34"/>
      <c r="D13" s="47"/>
      <c r="E13" s="47"/>
      <c r="F13" s="46" t="b">
        <f t="shared" si="0"/>
        <v>0</v>
      </c>
    </row>
    <row r="14" spans="1:6" x14ac:dyDescent="0.25">
      <c r="A14" s="32" t="s">
        <v>23</v>
      </c>
      <c r="B14" s="47"/>
      <c r="C14" s="34"/>
      <c r="D14" s="47"/>
      <c r="E14" s="47"/>
      <c r="F14" s="46" t="b">
        <f t="shared" si="0"/>
        <v>0</v>
      </c>
    </row>
    <row r="15" spans="1:6" x14ac:dyDescent="0.25">
      <c r="A15" s="32" t="s">
        <v>24</v>
      </c>
      <c r="B15" s="47"/>
      <c r="C15" s="34"/>
      <c r="D15" s="47"/>
      <c r="E15" s="47"/>
      <c r="F15" s="46" t="b">
        <f t="shared" si="0"/>
        <v>0</v>
      </c>
    </row>
    <row r="16" spans="1:6" x14ac:dyDescent="0.25">
      <c r="A16" s="32" t="s">
        <v>25</v>
      </c>
      <c r="B16" s="47"/>
      <c r="C16" s="34"/>
      <c r="D16" s="47"/>
      <c r="E16" s="47"/>
      <c r="F16" s="46" t="b">
        <f t="shared" si="0"/>
        <v>0</v>
      </c>
    </row>
    <row r="17" spans="1:6" x14ac:dyDescent="0.25">
      <c r="A17" s="32" t="s">
        <v>26</v>
      </c>
      <c r="B17" s="47"/>
      <c r="C17" s="34"/>
      <c r="D17" s="47"/>
      <c r="E17" s="47"/>
      <c r="F17" s="46" t="b">
        <f t="shared" si="0"/>
        <v>0</v>
      </c>
    </row>
    <row r="18" spans="1:6" x14ac:dyDescent="0.25">
      <c r="A18" s="32" t="s">
        <v>27</v>
      </c>
      <c r="B18" s="47"/>
      <c r="C18" s="34"/>
      <c r="D18" s="47"/>
      <c r="E18" s="47"/>
      <c r="F18" s="46" t="b">
        <f t="shared" si="0"/>
        <v>0</v>
      </c>
    </row>
    <row r="19" spans="1:6" x14ac:dyDescent="0.25">
      <c r="A19" s="32" t="s">
        <v>28</v>
      </c>
      <c r="B19" s="47"/>
      <c r="C19" s="34"/>
      <c r="D19" s="47"/>
      <c r="E19" s="47"/>
      <c r="F19" s="46" t="b">
        <f t="shared" si="0"/>
        <v>0</v>
      </c>
    </row>
    <row r="20" spans="1:6" x14ac:dyDescent="0.25">
      <c r="A20" s="32" t="s">
        <v>29</v>
      </c>
      <c r="B20" s="47"/>
      <c r="C20" s="34"/>
      <c r="D20" s="34"/>
      <c r="E20" s="34"/>
      <c r="F20" s="46" t="b">
        <f t="shared" si="0"/>
        <v>0</v>
      </c>
    </row>
    <row r="21" spans="1:6" x14ac:dyDescent="0.25">
      <c r="A21" s="32" t="s">
        <v>30</v>
      </c>
      <c r="B21" s="47"/>
      <c r="C21" s="34"/>
      <c r="D21" s="47"/>
      <c r="E21" s="47"/>
      <c r="F21" s="46" t="b">
        <f t="shared" si="0"/>
        <v>0</v>
      </c>
    </row>
    <row r="22" spans="1:6" x14ac:dyDescent="0.25">
      <c r="A22" s="32" t="s">
        <v>31</v>
      </c>
      <c r="B22" s="47"/>
      <c r="C22" s="34"/>
      <c r="D22" s="47"/>
      <c r="E22" s="47"/>
      <c r="F22" s="46" t="b">
        <f t="shared" si="0"/>
        <v>0</v>
      </c>
    </row>
    <row r="23" spans="1:6" x14ac:dyDescent="0.25">
      <c r="A23" s="32" t="s">
        <v>32</v>
      </c>
      <c r="B23" s="47"/>
      <c r="C23" s="34"/>
      <c r="D23" s="34"/>
      <c r="E23" s="34"/>
      <c r="F23" s="46" t="b">
        <f t="shared" si="0"/>
        <v>0</v>
      </c>
    </row>
    <row r="24" spans="1:6" x14ac:dyDescent="0.25">
      <c r="A24" s="32" t="s">
        <v>33</v>
      </c>
      <c r="B24" s="47"/>
      <c r="C24" s="34"/>
      <c r="D24" s="47"/>
      <c r="E24" s="47"/>
      <c r="F24" s="46" t="b">
        <f t="shared" si="0"/>
        <v>0</v>
      </c>
    </row>
    <row r="26" spans="1:6" ht="15.75" thickBot="1" x14ac:dyDescent="0.3">
      <c r="A26" s="43" t="s">
        <v>486</v>
      </c>
      <c r="B26" s="44"/>
    </row>
    <row r="27" spans="1:6" ht="15.75" thickTop="1" x14ac:dyDescent="0.25">
      <c r="A27" s="39"/>
      <c r="B27" s="39" t="s">
        <v>456</v>
      </c>
    </row>
    <row r="28" spans="1:6" x14ac:dyDescent="0.25">
      <c r="A28" s="39" t="s">
        <v>458</v>
      </c>
      <c r="B28" s="39" t="s">
        <v>457</v>
      </c>
    </row>
    <row r="29" spans="1:6" x14ac:dyDescent="0.25">
      <c r="A29" s="39" t="s">
        <v>459</v>
      </c>
      <c r="B29" s="39" t="b">
        <v>0</v>
      </c>
    </row>
    <row r="30" spans="1:6" x14ac:dyDescent="0.25">
      <c r="A30" s="39" t="s">
        <v>460</v>
      </c>
      <c r="B30" s="39" t="b">
        <v>0</v>
      </c>
    </row>
    <row r="31" spans="1:6" x14ac:dyDescent="0.25">
      <c r="A31" s="39" t="s">
        <v>461</v>
      </c>
      <c r="B31" s="39" t="s">
        <v>457</v>
      </c>
    </row>
    <row r="32" spans="1:6" x14ac:dyDescent="0.25">
      <c r="A32" s="39" t="s">
        <v>462</v>
      </c>
      <c r="B32" s="39" t="b">
        <v>0</v>
      </c>
    </row>
    <row r="33" spans="1:6" x14ac:dyDescent="0.25">
      <c r="A33" s="39" t="s">
        <v>463</v>
      </c>
      <c r="B33" s="39" t="b">
        <v>0</v>
      </c>
    </row>
    <row r="35" spans="1:6" ht="15.75" thickBot="1" x14ac:dyDescent="0.3">
      <c r="A35" s="1" t="s">
        <v>487</v>
      </c>
      <c r="B35" s="42" t="s">
        <v>494</v>
      </c>
      <c r="C35" s="36"/>
      <c r="D35" s="36"/>
      <c r="E35" s="36"/>
      <c r="F35" s="36"/>
    </row>
    <row r="36" spans="1:6" ht="45" x14ac:dyDescent="0.25">
      <c r="A36" t="s">
        <v>482</v>
      </c>
      <c r="B36" t="s">
        <v>500</v>
      </c>
      <c r="C36" s="37" t="s">
        <v>501</v>
      </c>
      <c r="D36" s="37" t="s">
        <v>502</v>
      </c>
      <c r="E36" s="37" t="s">
        <v>503</v>
      </c>
      <c r="F36" s="37" t="s">
        <v>504</v>
      </c>
    </row>
    <row r="37" spans="1:6" x14ac:dyDescent="0.25">
      <c r="A37" s="20" t="s">
        <v>12</v>
      </c>
      <c r="B37" t="b">
        <v>0</v>
      </c>
      <c r="C37" cm="1">
        <f t="array" ref="C37">INDEX(begin!G:G,MATCH(1, (A37=begin!A:A)*(B$3=begin!C:C),0))</f>
        <v>4.5000000000000005E-2</v>
      </c>
      <c r="D37">
        <f>C37*dropdown!G$6</f>
        <v>4.0500000000000008E-2</v>
      </c>
      <c r="E37">
        <v>0.8</v>
      </c>
      <c r="F37">
        <f>E37*D37/C37</f>
        <v>0.72000000000000008</v>
      </c>
    </row>
    <row r="38" spans="1:6" x14ac:dyDescent="0.25">
      <c r="A38" s="20" t="s">
        <v>19</v>
      </c>
      <c r="B38" t="b">
        <v>1</v>
      </c>
      <c r="C38" cm="1">
        <f t="array" ref="C38">INDEX(begin!G:G,MATCH(1, (A38=begin!A:A)*(B$3=begin!C:C),0))</f>
        <v>3.6000000000000011E-2</v>
      </c>
      <c r="D38">
        <f>C38*dropdown!G$6</f>
        <v>3.2400000000000012E-2</v>
      </c>
      <c r="E38">
        <v>0.8</v>
      </c>
      <c r="F38">
        <f>E38*dropdown!G5</f>
        <v>0.72000000000000008</v>
      </c>
    </row>
    <row r="39" spans="1:6" x14ac:dyDescent="0.25">
      <c r="A39" s="20" t="s">
        <v>20</v>
      </c>
      <c r="B39" t="b">
        <v>1</v>
      </c>
      <c r="C39" cm="1">
        <f t="array" ref="C39">INDEX(begin!G:G,MATCH(1, (A39=begin!A:A)*(B$3=begin!C:C),0))</f>
        <v>7.2900000000000006E-2</v>
      </c>
      <c r="D39">
        <f>C39*dropdown!G$6</f>
        <v>6.5610000000000002E-2</v>
      </c>
      <c r="E39">
        <v>0.8</v>
      </c>
      <c r="F39">
        <f t="shared" ref="F39:F52" si="1">E39*D39/C39</f>
        <v>0.72000000000000008</v>
      </c>
    </row>
    <row r="40" spans="1:6" x14ac:dyDescent="0.25">
      <c r="A40" s="20" t="s">
        <v>21</v>
      </c>
      <c r="B40" t="b">
        <v>0</v>
      </c>
      <c r="C40" cm="1">
        <f t="array" ref="C40">INDEX(begin!G:G,MATCH(1, (A40=begin!A:A)*(B$3=begin!C:C),0))</f>
        <v>8.1000000000000013E-3</v>
      </c>
      <c r="D40">
        <f>C40*dropdown!G$6</f>
        <v>7.2900000000000013E-3</v>
      </c>
      <c r="E40">
        <v>0.8</v>
      </c>
      <c r="F40">
        <f t="shared" si="1"/>
        <v>0.72000000000000008</v>
      </c>
    </row>
    <row r="41" spans="1:6" x14ac:dyDescent="0.25">
      <c r="A41" s="20" t="s">
        <v>22</v>
      </c>
      <c r="B41" t="b">
        <v>1</v>
      </c>
      <c r="C41" cm="1">
        <f t="array" ref="C41">INDEX(begin!G:G,MATCH(1, (A41=begin!A:A)*(B$3=begin!C:C),0))</f>
        <v>4.5000000000000005E-2</v>
      </c>
      <c r="D41">
        <f>C41*dropdown!G$6</f>
        <v>4.0500000000000008E-2</v>
      </c>
      <c r="E41">
        <v>0.8</v>
      </c>
      <c r="F41">
        <f t="shared" si="1"/>
        <v>0.72000000000000008</v>
      </c>
    </row>
    <row r="42" spans="1:6" x14ac:dyDescent="0.25">
      <c r="A42" s="20" t="s">
        <v>23</v>
      </c>
      <c r="B42" t="b">
        <v>0</v>
      </c>
      <c r="C42" cm="1">
        <f t="array" ref="C42">INDEX(begin!G:G,MATCH(1, (A42=begin!A:A)*(B$3=begin!C:C),0))</f>
        <v>4.5000000000000005E-2</v>
      </c>
      <c r="D42">
        <f>C42*dropdown!G$6</f>
        <v>4.0500000000000008E-2</v>
      </c>
      <c r="E42">
        <v>0.8</v>
      </c>
      <c r="F42">
        <f t="shared" si="1"/>
        <v>0.72000000000000008</v>
      </c>
    </row>
    <row r="43" spans="1:6" x14ac:dyDescent="0.25">
      <c r="A43" s="20" t="s">
        <v>24</v>
      </c>
      <c r="B43" t="b">
        <v>1</v>
      </c>
      <c r="C43" cm="1">
        <f t="array" ref="C43">INDEX(begin!G:G,MATCH(1, (A43=begin!A:A)*(B$3=begin!C:C),0))</f>
        <v>4.5000000000000005E-2</v>
      </c>
      <c r="D43">
        <f>C43*dropdown!G$6</f>
        <v>4.0500000000000008E-2</v>
      </c>
      <c r="E43">
        <v>0.8</v>
      </c>
      <c r="F43">
        <f t="shared" si="1"/>
        <v>0.72000000000000008</v>
      </c>
    </row>
    <row r="44" spans="1:6" x14ac:dyDescent="0.25">
      <c r="A44" s="20" t="s">
        <v>25</v>
      </c>
      <c r="B44" t="b">
        <v>0</v>
      </c>
      <c r="C44" cm="1">
        <f t="array" ref="C44">INDEX(begin!G:G,MATCH(1, (A44=begin!A:A)*(B$3=begin!C:C),0))</f>
        <v>4.5000000000000005E-2</v>
      </c>
      <c r="D44">
        <f>C44*dropdown!G$6</f>
        <v>4.0500000000000008E-2</v>
      </c>
      <c r="E44">
        <v>0.8</v>
      </c>
      <c r="F44">
        <f t="shared" si="1"/>
        <v>0.72000000000000008</v>
      </c>
    </row>
    <row r="45" spans="1:6" x14ac:dyDescent="0.25">
      <c r="A45" s="20" t="s">
        <v>26</v>
      </c>
      <c r="B45" t="b">
        <v>0</v>
      </c>
      <c r="C45" cm="1">
        <f t="array" ref="C45">INDEX(begin!G:G,MATCH(1, (A45=begin!A:A)*(B$3=begin!C:C),0))</f>
        <v>4.5000000000000005E-2</v>
      </c>
      <c r="D45">
        <f>C45*dropdown!G$6</f>
        <v>4.0500000000000008E-2</v>
      </c>
      <c r="E45">
        <v>0.8</v>
      </c>
      <c r="F45">
        <f t="shared" si="1"/>
        <v>0.72000000000000008</v>
      </c>
    </row>
    <row r="46" spans="1:6" x14ac:dyDescent="0.25">
      <c r="A46" s="20" t="s">
        <v>27</v>
      </c>
      <c r="B46" t="b">
        <v>0</v>
      </c>
      <c r="C46" cm="1">
        <f t="array" ref="C46">INDEX(begin!G:G,MATCH(1, (A46=begin!A:A)*(B$3=begin!C:C),0))</f>
        <v>4.5000000000000005E-2</v>
      </c>
      <c r="D46">
        <f>C46*dropdown!G$6</f>
        <v>4.0500000000000008E-2</v>
      </c>
      <c r="E46">
        <v>0.8</v>
      </c>
      <c r="F46">
        <f t="shared" si="1"/>
        <v>0.72000000000000008</v>
      </c>
    </row>
    <row r="47" spans="1:6" x14ac:dyDescent="0.25">
      <c r="A47" s="20" t="s">
        <v>28</v>
      </c>
      <c r="B47" t="b">
        <v>0</v>
      </c>
      <c r="C47" cm="1">
        <f t="array" ref="C47">INDEX(begin!G:G,MATCH(1, (A47=begin!A:A)*(B$3=begin!C:C),0))</f>
        <v>4.5000000000000005E-2</v>
      </c>
      <c r="D47">
        <f>C47*dropdown!G$6</f>
        <v>4.0500000000000008E-2</v>
      </c>
      <c r="E47">
        <v>0.8</v>
      </c>
      <c r="F47">
        <f t="shared" si="1"/>
        <v>0.72000000000000008</v>
      </c>
    </row>
    <row r="48" spans="1:6" x14ac:dyDescent="0.25">
      <c r="A48" s="20" t="s">
        <v>29</v>
      </c>
      <c r="B48" t="b">
        <v>1</v>
      </c>
      <c r="C48" cm="1">
        <f t="array" ref="C48">INDEX(begin!G:G,MATCH(1, (A48=begin!A:A)*(B$3=begin!C:C),0))</f>
        <v>4.5000000000000005E-2</v>
      </c>
      <c r="D48">
        <f>C48*dropdown!G$6</f>
        <v>4.0500000000000008E-2</v>
      </c>
      <c r="E48">
        <v>0.8</v>
      </c>
      <c r="F48">
        <f t="shared" si="1"/>
        <v>0.72000000000000008</v>
      </c>
    </row>
    <row r="49" spans="1:6" x14ac:dyDescent="0.25">
      <c r="A49" s="20" t="s">
        <v>30</v>
      </c>
      <c r="B49" t="b">
        <v>0</v>
      </c>
      <c r="C49" cm="1">
        <f t="array" ref="C49">INDEX(begin!G:G,MATCH(1, (A49=begin!A:A)*(B$3=begin!C:C),0))</f>
        <v>4.5000000000000005E-2</v>
      </c>
      <c r="D49">
        <f>C49*dropdown!G$6</f>
        <v>4.0500000000000008E-2</v>
      </c>
      <c r="E49">
        <v>0.8</v>
      </c>
      <c r="F49">
        <f t="shared" si="1"/>
        <v>0.72000000000000008</v>
      </c>
    </row>
    <row r="50" spans="1:6" x14ac:dyDescent="0.25">
      <c r="A50" s="20" t="s">
        <v>31</v>
      </c>
      <c r="B50" t="b">
        <v>0</v>
      </c>
      <c r="C50" cm="1">
        <f t="array" ref="C50">INDEX(begin!G:G,MATCH(1, (A50=begin!A:A)*(B$3=begin!C:C),0))</f>
        <v>4.5000000000000005E-2</v>
      </c>
      <c r="D50">
        <f>C50*dropdown!G$6</f>
        <v>4.0500000000000008E-2</v>
      </c>
      <c r="E50">
        <v>0.8</v>
      </c>
      <c r="F50">
        <f t="shared" si="1"/>
        <v>0.72000000000000008</v>
      </c>
    </row>
    <row r="51" spans="1:6" x14ac:dyDescent="0.25">
      <c r="A51" s="20" t="s">
        <v>32</v>
      </c>
      <c r="B51" t="b">
        <v>0</v>
      </c>
      <c r="C51" cm="1">
        <f t="array" ref="C51">INDEX(begin!G:G,MATCH(1, (A51=begin!A:A)*(B$3=begin!C:C),0))</f>
        <v>4.5000000000000005E-2</v>
      </c>
      <c r="D51">
        <f>C51*dropdown!G$6</f>
        <v>4.0500000000000008E-2</v>
      </c>
      <c r="E51">
        <v>0.8</v>
      </c>
      <c r="F51">
        <f t="shared" si="1"/>
        <v>0.72000000000000008</v>
      </c>
    </row>
    <row r="52" spans="1:6" x14ac:dyDescent="0.25">
      <c r="A52" s="20" t="s">
        <v>33</v>
      </c>
      <c r="B52" t="b">
        <v>0</v>
      </c>
      <c r="C52" cm="1">
        <f t="array" ref="C52">INDEX(begin!G:G,MATCH(1, (A52=begin!A:A)*(B$3=begin!C:C),0))</f>
        <v>4.5000000000000005E-2</v>
      </c>
      <c r="D52">
        <f>C52*dropdown!G$6</f>
        <v>4.0500000000000008E-2</v>
      </c>
      <c r="E52">
        <v>0.8</v>
      </c>
      <c r="F52">
        <f t="shared" si="1"/>
        <v>0.72000000000000008</v>
      </c>
    </row>
    <row r="54" spans="1:6" ht="15.75" thickBot="1" x14ac:dyDescent="0.3">
      <c r="A54" s="43" t="s">
        <v>488</v>
      </c>
      <c r="B54" s="44"/>
      <c r="C54" s="44"/>
      <c r="D54" s="44"/>
    </row>
    <row r="55" spans="1:6" ht="15.75" thickTop="1" x14ac:dyDescent="0.25">
      <c r="A55" s="39"/>
      <c r="B55" s="39" t="s">
        <v>456</v>
      </c>
      <c r="C55" s="39" t="s">
        <v>464</v>
      </c>
      <c r="D55" s="39" t="s">
        <v>465</v>
      </c>
    </row>
    <row r="56" spans="1:6" x14ac:dyDescent="0.25">
      <c r="A56" s="39" t="s">
        <v>473</v>
      </c>
      <c r="B56" s="39" t="b">
        <v>1</v>
      </c>
      <c r="C56" s="39">
        <v>10</v>
      </c>
      <c r="D56" s="39">
        <v>30</v>
      </c>
    </row>
  </sheetData>
  <conditionalFormatting sqref="B37:B52">
    <cfRule type="cellIs" dxfId="0" priority="1" operator="equal">
      <formula>FALSE</formula>
    </cfRule>
  </conditionalFormatting>
  <dataValidations count="2">
    <dataValidation type="whole" allowBlank="1" showInputMessage="1" showErrorMessage="1" sqref="C56" xr:uid="{309188A8-94E2-4E0C-BBD0-EABAC5D9E24A}">
      <formula1>1</formula1>
      <formula2>99</formula2>
    </dataValidation>
    <dataValidation type="whole" allowBlank="1" showInputMessage="1" showErrorMessage="1" sqref="D56" xr:uid="{4F098CF6-8B5D-4851-B8F1-B734204C37D2}">
      <formula1>1</formula1>
      <formula2>100</formula2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71BDAD-A07D-4383-BC65-1F774B49062E}">
          <x14:formula1>
            <xm:f>dropdown!$M$2:$M$190</xm:f>
          </x14:formula1>
          <xm:sqref>B2:B3</xm:sqref>
        </x14:dataValidation>
        <x14:dataValidation type="list" allowBlank="1" showInputMessage="1" showErrorMessage="1" xr:uid="{440230A4-873E-41C8-919C-62BF0E2987F4}">
          <x14:formula1>
            <xm:f>dropdown!$K$2:$K$3</xm:f>
          </x14:formula1>
          <xm:sqref>B32:B33 B56 B29:B30 B37:B52</xm:sqref>
        </x14:dataValidation>
        <x14:dataValidation type="list" allowBlank="1" showInputMessage="1" showErrorMessage="1" xr:uid="{C1E0AE77-188F-49D6-8742-9571CD5426C7}">
          <x14:formula1>
            <xm:f>dropdown!$Q$2:$Q$47</xm:f>
          </x14:formula1>
          <xm:sqref>B4:B5</xm:sqref>
        </x14:dataValidation>
        <x14:dataValidation type="list" allowBlank="1" showInputMessage="1" showErrorMessage="1" xr:uid="{564890CC-2C29-4CFA-AEA5-AD1799FB1440}">
          <x14:formula1>
            <xm:f>dropdown!$D$11:$D$12</xm:f>
          </x14:formula1>
          <xm:sqref>B7 B35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560B-C720-42DF-A140-FC175B062413}">
  <dimension ref="A1:L17"/>
  <sheetViews>
    <sheetView tabSelected="1" zoomScaleNormal="100" workbookViewId="0">
      <selection activeCell="B4" sqref="B4:F4"/>
    </sheetView>
  </sheetViews>
  <sheetFormatPr defaultRowHeight="15" x14ac:dyDescent="0.25"/>
  <cols>
    <col min="1" max="1" width="34.140625" bestFit="1" customWidth="1"/>
  </cols>
  <sheetData>
    <row r="1" spans="1:12" ht="15.75" thickBot="1" x14ac:dyDescent="0.3">
      <c r="A1" s="1" t="s">
        <v>4</v>
      </c>
      <c r="B1" s="1" t="s">
        <v>472</v>
      </c>
      <c r="C1" s="1" t="s">
        <v>466</v>
      </c>
      <c r="D1" s="1" t="s">
        <v>467</v>
      </c>
      <c r="E1" s="1" t="s">
        <v>468</v>
      </c>
      <c r="F1" s="1" t="s">
        <v>469</v>
      </c>
    </row>
    <row r="2" spans="1:12" x14ac:dyDescent="0.25">
      <c r="A2" s="20" t="s">
        <v>12</v>
      </c>
      <c r="B2">
        <v>1</v>
      </c>
      <c r="C2">
        <v>1</v>
      </c>
      <c r="D2">
        <v>1</v>
      </c>
      <c r="E2">
        <v>1</v>
      </c>
      <c r="F2">
        <v>0.9</v>
      </c>
    </row>
    <row r="3" spans="1:12" x14ac:dyDescent="0.25">
      <c r="A3" s="23" t="s">
        <v>19</v>
      </c>
      <c r="B3">
        <v>1</v>
      </c>
      <c r="C3">
        <v>1</v>
      </c>
      <c r="D3">
        <v>0.1</v>
      </c>
      <c r="E3">
        <v>0.5</v>
      </c>
      <c r="F3">
        <v>0.9</v>
      </c>
    </row>
    <row r="4" spans="1:12" x14ac:dyDescent="0.25">
      <c r="A4" s="23" t="s">
        <v>20</v>
      </c>
      <c r="B4">
        <v>0.05</v>
      </c>
      <c r="C4">
        <v>1</v>
      </c>
      <c r="D4">
        <v>0.05</v>
      </c>
      <c r="E4">
        <v>0.5</v>
      </c>
      <c r="F4">
        <v>0.9</v>
      </c>
      <c r="H4">
        <v>0.05</v>
      </c>
      <c r="I4">
        <v>1</v>
      </c>
      <c r="J4">
        <v>0.05</v>
      </c>
      <c r="K4">
        <v>0.5</v>
      </c>
      <c r="L4">
        <v>0.9</v>
      </c>
    </row>
    <row r="5" spans="1:12" x14ac:dyDescent="0.25">
      <c r="A5" s="23" t="s">
        <v>21</v>
      </c>
      <c r="B5">
        <v>0.2</v>
      </c>
      <c r="C5">
        <v>1</v>
      </c>
      <c r="D5">
        <v>0.2</v>
      </c>
      <c r="E5">
        <v>0.5</v>
      </c>
      <c r="F5">
        <v>0.9</v>
      </c>
    </row>
    <row r="6" spans="1:12" x14ac:dyDescent="0.25">
      <c r="A6" s="20" t="s">
        <v>22</v>
      </c>
      <c r="B6">
        <v>1</v>
      </c>
      <c r="C6">
        <v>1</v>
      </c>
      <c r="D6">
        <v>1</v>
      </c>
      <c r="E6">
        <v>1</v>
      </c>
      <c r="F6">
        <v>0.8</v>
      </c>
    </row>
    <row r="7" spans="1:12" x14ac:dyDescent="0.25">
      <c r="A7" s="20" t="s">
        <v>23</v>
      </c>
      <c r="B7">
        <v>1</v>
      </c>
      <c r="C7">
        <v>1</v>
      </c>
      <c r="D7">
        <v>1</v>
      </c>
      <c r="E7">
        <v>1</v>
      </c>
      <c r="F7">
        <v>0.5</v>
      </c>
    </row>
    <row r="8" spans="1:12" x14ac:dyDescent="0.25">
      <c r="A8" s="20" t="s">
        <v>24</v>
      </c>
      <c r="B8">
        <v>1</v>
      </c>
      <c r="C8">
        <v>1</v>
      </c>
      <c r="D8">
        <v>1</v>
      </c>
      <c r="E8">
        <v>1</v>
      </c>
      <c r="F8">
        <v>0.8</v>
      </c>
    </row>
    <row r="9" spans="1:12" x14ac:dyDescent="0.25">
      <c r="A9" s="20" t="s">
        <v>25</v>
      </c>
      <c r="B9">
        <v>1</v>
      </c>
      <c r="C9">
        <v>1</v>
      </c>
      <c r="D9">
        <v>1</v>
      </c>
      <c r="E9">
        <v>1</v>
      </c>
      <c r="F9">
        <v>0.5</v>
      </c>
    </row>
    <row r="10" spans="1:12" x14ac:dyDescent="0.25">
      <c r="A10" s="20" t="s">
        <v>26</v>
      </c>
      <c r="B10">
        <v>1</v>
      </c>
      <c r="C10">
        <v>1</v>
      </c>
      <c r="D10">
        <v>1</v>
      </c>
      <c r="E10">
        <v>1</v>
      </c>
      <c r="F10">
        <v>0.5</v>
      </c>
    </row>
    <row r="11" spans="1:12" x14ac:dyDescent="0.25">
      <c r="A11" s="20" t="s">
        <v>27</v>
      </c>
      <c r="B11">
        <v>1</v>
      </c>
      <c r="C11">
        <v>1</v>
      </c>
      <c r="D11">
        <v>1</v>
      </c>
      <c r="E11">
        <v>1</v>
      </c>
      <c r="F11">
        <v>0.9</v>
      </c>
    </row>
    <row r="12" spans="1:12" x14ac:dyDescent="0.25">
      <c r="A12" s="20" t="s">
        <v>28</v>
      </c>
      <c r="B12">
        <v>1</v>
      </c>
      <c r="C12">
        <v>1</v>
      </c>
      <c r="D12">
        <v>1</v>
      </c>
      <c r="E12">
        <v>1</v>
      </c>
      <c r="F12">
        <v>0.9</v>
      </c>
    </row>
    <row r="13" spans="1:12" x14ac:dyDescent="0.25">
      <c r="A13" s="23" t="s">
        <v>29</v>
      </c>
      <c r="B13">
        <v>1</v>
      </c>
      <c r="C13">
        <v>1</v>
      </c>
      <c r="D13">
        <v>0.2</v>
      </c>
      <c r="E13">
        <v>0.5</v>
      </c>
      <c r="F13">
        <v>0.9</v>
      </c>
    </row>
    <row r="14" spans="1:12" x14ac:dyDescent="0.25">
      <c r="A14" s="20" t="s">
        <v>30</v>
      </c>
      <c r="B14">
        <v>1</v>
      </c>
      <c r="C14">
        <v>1</v>
      </c>
      <c r="D14">
        <v>1</v>
      </c>
      <c r="E14">
        <v>1</v>
      </c>
      <c r="F14">
        <v>0.8</v>
      </c>
      <c r="J14" s="24" t="s">
        <v>467</v>
      </c>
      <c r="K14" s="24" t="s">
        <v>468</v>
      </c>
    </row>
    <row r="15" spans="1:12" x14ac:dyDescent="0.25">
      <c r="A15" s="20" t="s">
        <v>31</v>
      </c>
      <c r="B15">
        <v>1</v>
      </c>
      <c r="C15">
        <v>1</v>
      </c>
      <c r="D15">
        <v>1</v>
      </c>
      <c r="E15">
        <v>1</v>
      </c>
      <c r="F15">
        <v>0.9</v>
      </c>
      <c r="J15" s="24">
        <v>0.2</v>
      </c>
      <c r="K15" s="24">
        <v>0.5</v>
      </c>
    </row>
    <row r="16" spans="1:12" x14ac:dyDescent="0.25">
      <c r="A16" s="23" t="s">
        <v>32</v>
      </c>
      <c r="B16">
        <v>1</v>
      </c>
      <c r="C16">
        <v>1</v>
      </c>
      <c r="D16">
        <v>0.5</v>
      </c>
      <c r="E16">
        <v>0.9</v>
      </c>
      <c r="F16">
        <v>0.9</v>
      </c>
    </row>
    <row r="17" spans="1:6" x14ac:dyDescent="0.25">
      <c r="A17" s="20" t="s">
        <v>33</v>
      </c>
      <c r="B17">
        <v>1</v>
      </c>
      <c r="C17">
        <v>1</v>
      </c>
      <c r="D17">
        <v>1</v>
      </c>
      <c r="E17">
        <v>1</v>
      </c>
      <c r="F17">
        <v>0.5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FDBF-700D-4C4A-A478-2458223727ED}">
  <dimension ref="A1:F17"/>
  <sheetViews>
    <sheetView workbookViewId="0">
      <selection activeCell="E3" sqref="E3"/>
    </sheetView>
  </sheetViews>
  <sheetFormatPr defaultRowHeight="15" x14ac:dyDescent="0.25"/>
  <cols>
    <col min="1" max="1" width="33" bestFit="1" customWidth="1" collapsed="1"/>
  </cols>
  <sheetData>
    <row r="1" spans="1:6" ht="15.75" thickBot="1" x14ac:dyDescent="0.3">
      <c r="A1" s="6" t="s">
        <v>4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</row>
    <row r="2" spans="1:6" x14ac:dyDescent="0.25">
      <c r="A2" s="4" t="s">
        <v>12</v>
      </c>
      <c r="B2" s="7">
        <v>0</v>
      </c>
      <c r="C2" s="8">
        <v>1</v>
      </c>
      <c r="D2" s="8">
        <v>0</v>
      </c>
      <c r="E2" s="8">
        <v>0</v>
      </c>
      <c r="F2" s="7">
        <f t="shared" ref="F2:F17" si="0">SUM(B2:E2)</f>
        <v>1</v>
      </c>
    </row>
    <row r="3" spans="1:6" x14ac:dyDescent="0.25">
      <c r="A3" s="4" t="s">
        <v>19</v>
      </c>
      <c r="B3" s="11">
        <v>0</v>
      </c>
      <c r="C3" s="11">
        <v>0.55693380000000003</v>
      </c>
      <c r="D3" s="11">
        <v>0.24678629999999999</v>
      </c>
      <c r="E3" s="11">
        <v>0.1962798</v>
      </c>
      <c r="F3" s="13">
        <f t="shared" si="0"/>
        <v>0.99999990000000005</v>
      </c>
    </row>
    <row r="4" spans="1:6" x14ac:dyDescent="0.25">
      <c r="A4" s="4" t="s">
        <v>20</v>
      </c>
      <c r="B4" s="7">
        <v>0.9</v>
      </c>
      <c r="C4" s="11">
        <f xml:space="preserve"> 49.50869% * (1-$B4)</f>
        <v>4.9508689999999987E-2</v>
      </c>
      <c r="D4" s="11">
        <f>34.54271%*(1-$B4)</f>
        <v>3.454270999999999E-2</v>
      </c>
      <c r="E4" s="11">
        <f>15.948602%*(1-$B4)</f>
        <v>1.5948601999999996E-2</v>
      </c>
      <c r="F4" s="13">
        <f t="shared" si="0"/>
        <v>1.0000000019999999</v>
      </c>
    </row>
    <row r="5" spans="1:6" x14ac:dyDescent="0.25">
      <c r="A5" s="4" t="s">
        <v>21</v>
      </c>
      <c r="B5" s="7">
        <v>0.5</v>
      </c>
      <c r="C5" s="8">
        <f>37.69154%*(1-B5)</f>
        <v>0.18845770000000001</v>
      </c>
      <c r="D5" s="8">
        <f>40.03997%*(1-$B5)</f>
        <v>0.20019984999999998</v>
      </c>
      <c r="E5" s="8">
        <f>22.268488%*(1-B5)</f>
        <v>0.11134244</v>
      </c>
      <c r="F5" s="13">
        <f t="shared" si="0"/>
        <v>0.99999999000000006</v>
      </c>
    </row>
    <row r="6" spans="1:6" x14ac:dyDescent="0.25">
      <c r="A6" s="4" t="s">
        <v>22</v>
      </c>
      <c r="B6" s="7">
        <v>0</v>
      </c>
      <c r="C6" s="8">
        <v>1</v>
      </c>
      <c r="D6" s="8">
        <v>0</v>
      </c>
      <c r="E6" s="8">
        <v>0</v>
      </c>
      <c r="F6" s="7">
        <f t="shared" si="0"/>
        <v>1</v>
      </c>
    </row>
    <row r="7" spans="1:6" x14ac:dyDescent="0.25">
      <c r="A7" s="4" t="s">
        <v>23</v>
      </c>
      <c r="B7" s="7">
        <v>0</v>
      </c>
      <c r="C7" s="8">
        <v>1</v>
      </c>
      <c r="D7" s="8">
        <v>0</v>
      </c>
      <c r="E7" s="8">
        <v>0</v>
      </c>
      <c r="F7" s="7">
        <f t="shared" si="0"/>
        <v>1</v>
      </c>
    </row>
    <row r="8" spans="1:6" x14ac:dyDescent="0.25">
      <c r="A8" s="4" t="s">
        <v>24</v>
      </c>
      <c r="B8" s="7">
        <v>0</v>
      </c>
      <c r="C8" s="8">
        <v>1</v>
      </c>
      <c r="D8" s="8">
        <v>0</v>
      </c>
      <c r="E8" s="8">
        <v>0</v>
      </c>
      <c r="F8" s="7">
        <f t="shared" si="0"/>
        <v>1</v>
      </c>
    </row>
    <row r="9" spans="1:6" x14ac:dyDescent="0.25">
      <c r="A9" s="4" t="s">
        <v>25</v>
      </c>
      <c r="B9" s="7">
        <v>0</v>
      </c>
      <c r="C9" s="8">
        <v>1</v>
      </c>
      <c r="D9" s="8">
        <v>0</v>
      </c>
      <c r="E9" s="8">
        <v>0</v>
      </c>
      <c r="F9" s="7">
        <f t="shared" si="0"/>
        <v>1</v>
      </c>
    </row>
    <row r="10" spans="1:6" x14ac:dyDescent="0.25">
      <c r="A10" s="4" t="s">
        <v>26</v>
      </c>
      <c r="B10" s="7">
        <v>0</v>
      </c>
      <c r="C10" s="8">
        <v>1</v>
      </c>
      <c r="D10" s="8">
        <v>0</v>
      </c>
      <c r="E10" s="8">
        <v>0</v>
      </c>
      <c r="F10" s="7">
        <f t="shared" si="0"/>
        <v>1</v>
      </c>
    </row>
    <row r="11" spans="1:6" x14ac:dyDescent="0.25">
      <c r="A11" s="4" t="s">
        <v>27</v>
      </c>
      <c r="B11" s="7">
        <v>0</v>
      </c>
      <c r="C11" s="8">
        <v>1</v>
      </c>
      <c r="D11" s="8">
        <v>0</v>
      </c>
      <c r="E11" s="8">
        <v>0</v>
      </c>
      <c r="F11" s="7">
        <f t="shared" si="0"/>
        <v>1</v>
      </c>
    </row>
    <row r="12" spans="1:6" x14ac:dyDescent="0.25">
      <c r="A12" s="4" t="s">
        <v>28</v>
      </c>
      <c r="B12" s="7">
        <v>0</v>
      </c>
      <c r="C12" s="8">
        <v>1</v>
      </c>
      <c r="D12" s="8">
        <v>0</v>
      </c>
      <c r="E12" s="8">
        <v>0</v>
      </c>
      <c r="F12" s="7">
        <f t="shared" si="0"/>
        <v>1</v>
      </c>
    </row>
    <row r="13" spans="1:6" x14ac:dyDescent="0.25">
      <c r="A13" s="4" t="s">
        <v>29</v>
      </c>
      <c r="B13" s="7">
        <v>0</v>
      </c>
      <c r="C13" s="8">
        <v>0.74559310000000001</v>
      </c>
      <c r="D13" s="8">
        <v>0.1587829</v>
      </c>
      <c r="E13" s="8">
        <f>1-(C13+D13)</f>
        <v>9.5623999999999931E-2</v>
      </c>
      <c r="F13" s="7">
        <f t="shared" si="0"/>
        <v>1</v>
      </c>
    </row>
    <row r="14" spans="1:6" x14ac:dyDescent="0.25">
      <c r="A14" s="4" t="s">
        <v>30</v>
      </c>
      <c r="B14" s="7">
        <v>0</v>
      </c>
      <c r="C14" s="8">
        <v>1</v>
      </c>
      <c r="D14" s="8">
        <v>0</v>
      </c>
      <c r="E14" s="8">
        <v>0</v>
      </c>
      <c r="F14" s="7">
        <f t="shared" si="0"/>
        <v>1</v>
      </c>
    </row>
    <row r="15" spans="1:6" x14ac:dyDescent="0.25">
      <c r="A15" s="4" t="s">
        <v>31</v>
      </c>
      <c r="B15" s="7">
        <v>0</v>
      </c>
      <c r="C15" s="8">
        <v>1</v>
      </c>
      <c r="D15" s="8">
        <v>0</v>
      </c>
      <c r="E15" s="8">
        <v>0</v>
      </c>
      <c r="F15" s="7">
        <f t="shared" si="0"/>
        <v>1</v>
      </c>
    </row>
    <row r="16" spans="1:6" x14ac:dyDescent="0.25">
      <c r="A16" s="4" t="s">
        <v>32</v>
      </c>
      <c r="B16" s="7">
        <v>0</v>
      </c>
      <c r="C16" s="8">
        <v>0.26710149999999999</v>
      </c>
      <c r="D16" s="8">
        <v>0.21189949999999999</v>
      </c>
      <c r="E16" s="8">
        <v>0.52099905000000002</v>
      </c>
      <c r="F16" s="7">
        <f t="shared" si="0"/>
        <v>1.0000000500000001</v>
      </c>
    </row>
    <row r="17" spans="1:6" x14ac:dyDescent="0.25">
      <c r="A17" s="4" t="s">
        <v>33</v>
      </c>
      <c r="B17" s="7">
        <v>0</v>
      </c>
      <c r="C17" s="8">
        <v>1</v>
      </c>
      <c r="D17" s="8">
        <v>0</v>
      </c>
      <c r="E17" s="8">
        <v>0</v>
      </c>
      <c r="F17" s="7">
        <f t="shared" si="0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BBD6-FA17-4071-8391-3211FCC8A0E0}">
  <sheetPr filterMode="1"/>
  <dimension ref="A1:AA577"/>
  <sheetViews>
    <sheetView zoomScaleNormal="100" workbookViewId="0">
      <pane ySplit="1" topLeftCell="A386" activePane="bottomLeft" state="frozen"/>
      <selection pane="bottomLeft" activeCell="F401" sqref="F401"/>
    </sheetView>
  </sheetViews>
  <sheetFormatPr defaultRowHeight="15" x14ac:dyDescent="0.25"/>
  <cols>
    <col min="1" max="1" width="33" bestFit="1" customWidth="1" collapsed="1"/>
    <col min="2" max="2" width="9.7109375" style="40" customWidth="1"/>
    <col min="3" max="3" width="18" bestFit="1" customWidth="1" collapsed="1"/>
    <col min="4" max="4" width="6.140625" customWidth="1"/>
    <col min="5" max="5" width="51.85546875" bestFit="1" customWidth="1"/>
  </cols>
  <sheetData>
    <row r="1" spans="1:27" s="3" customFormat="1" ht="15.75" thickBot="1" x14ac:dyDescent="0.3">
      <c r="A1" s="1" t="s">
        <v>4</v>
      </c>
      <c r="B1" s="1" t="s">
        <v>470</v>
      </c>
      <c r="C1" s="1" t="s">
        <v>5</v>
      </c>
      <c r="D1" s="1" t="s">
        <v>471</v>
      </c>
      <c r="E1" s="1" t="s">
        <v>455</v>
      </c>
      <c r="F1" s="1" t="s">
        <v>6</v>
      </c>
      <c r="G1" s="1" t="s">
        <v>0</v>
      </c>
      <c r="H1" s="1" t="s">
        <v>1</v>
      </c>
      <c r="I1" s="1" t="s">
        <v>246</v>
      </c>
      <c r="J1" s="1" t="s">
        <v>2</v>
      </c>
      <c r="K1" s="1" t="s">
        <v>495</v>
      </c>
      <c r="L1" s="1" t="s">
        <v>496</v>
      </c>
      <c r="M1" s="1" t="s">
        <v>7</v>
      </c>
      <c r="N1" s="1" t="s">
        <v>8</v>
      </c>
      <c r="O1" s="1" t="s">
        <v>499</v>
      </c>
      <c r="P1" s="1" t="s">
        <v>497</v>
      </c>
      <c r="Q1" s="1" t="s">
        <v>9</v>
      </c>
      <c r="R1" s="1" t="s">
        <v>10</v>
      </c>
      <c r="S1" s="1" t="s">
        <v>474</v>
      </c>
      <c r="T1" s="1" t="s">
        <v>475</v>
      </c>
      <c r="U1" s="1" t="s">
        <v>476</v>
      </c>
      <c r="V1" s="1" t="s">
        <v>477</v>
      </c>
      <c r="W1" s="1" t="s">
        <v>478</v>
      </c>
      <c r="X1" s="1" t="s">
        <v>479</v>
      </c>
      <c r="Y1" s="1" t="s">
        <v>480</v>
      </c>
      <c r="Z1" s="1" t="s">
        <v>481</v>
      </c>
      <c r="AA1" s="1" t="s">
        <v>11</v>
      </c>
    </row>
    <row r="2" spans="1:27" hidden="1" x14ac:dyDescent="0.25">
      <c r="A2" t="s">
        <v>12</v>
      </c>
      <c r="B2">
        <f>IF(COUNTIF(dropdown!B$2:B$12,all_inputs!A2)=1,1,IF(COUNTIF(dropdown!C$2:C$4,all_inputs!A2)=1,2,IF(COUNTIF(dropdown!D$2:D$3,all_inputs!A2)=1,3,"?")))</f>
        <v>1</v>
      </c>
      <c r="C2" t="s">
        <v>13</v>
      </c>
      <c r="D2" t="s">
        <v>472</v>
      </c>
      <c r="E2" t="s">
        <v>459</v>
      </c>
      <c r="F2" s="4">
        <v>1</v>
      </c>
      <c r="G2" s="4">
        <f>ui!B$4</f>
        <v>2025</v>
      </c>
      <c r="H2" s="4">
        <f>ui!B$5</f>
        <v>2050</v>
      </c>
      <c r="I2" s="4" t="str">
        <f>ui!B$2</f>
        <v>Uganda</v>
      </c>
      <c r="J2" s="4" t="str">
        <f>VLOOKUP(ui!B$2,dropdown!M:O,3,FALSE)</f>
        <v>LIC</v>
      </c>
      <c r="K2" s="4"/>
      <c r="L2" s="4"/>
      <c r="M2" s="4"/>
      <c r="N2" s="4">
        <v>1</v>
      </c>
      <c r="O2" s="4"/>
      <c r="P2" s="4"/>
      <c r="Q2" s="4"/>
      <c r="R2" s="4">
        <v>1</v>
      </c>
      <c r="S2" s="4"/>
      <c r="T2" s="4"/>
      <c r="U2" s="4"/>
      <c r="V2" s="4"/>
      <c r="W2" s="4"/>
      <c r="X2" s="4"/>
      <c r="Y2" s="4"/>
      <c r="Z2" s="4"/>
      <c r="AA2" t="b">
        <f>VLOOKUP(all_inputs!E2,ui!A$29:B$33,2,FALSE)</f>
        <v>0</v>
      </c>
    </row>
    <row r="3" spans="1:27" hidden="1" x14ac:dyDescent="0.25">
      <c r="A3" t="s">
        <v>12</v>
      </c>
      <c r="B3">
        <f>IF(COUNTIF(dropdown!B$2:B$12,all_inputs!A3)=1,1,IF(COUNTIF(dropdown!C$2:C$4,all_inputs!A3)=1,2,IF(COUNTIF(dropdown!D$2:D$3,all_inputs!A3)=1,3,"?")))</f>
        <v>1</v>
      </c>
      <c r="C3" t="s">
        <v>14</v>
      </c>
      <c r="D3" t="s">
        <v>466</v>
      </c>
      <c r="E3" t="s">
        <v>459</v>
      </c>
      <c r="F3">
        <f>IF(AND(all_inputs!E3=dropdown!Z$8, COUNTIF(dropdown!Z$9:Z$19,all_inputs!A3)=1), dropdown!U$10, 1)</f>
        <v>1</v>
      </c>
      <c r="G3" s="4">
        <f>ui!B$4</f>
        <v>2025</v>
      </c>
      <c r="H3" s="4">
        <f>ui!B$5</f>
        <v>2050</v>
      </c>
      <c r="I3" s="4" t="s">
        <v>93</v>
      </c>
      <c r="J3" s="4" t="str">
        <f>VLOOKUP(ui!B$2,dropdown!M:O,3,FALSE)</f>
        <v>LIC</v>
      </c>
      <c r="K3" s="4"/>
      <c r="L3" s="4"/>
      <c r="M3" s="4"/>
      <c r="N3" s="4">
        <v>1</v>
      </c>
      <c r="O3" s="4"/>
      <c r="P3" s="4"/>
      <c r="Q3" s="4"/>
      <c r="R3" s="4">
        <v>1</v>
      </c>
      <c r="S3" s="4"/>
      <c r="T3" s="4"/>
      <c r="U3" s="4"/>
      <c r="V3" s="4"/>
      <c r="W3" s="4"/>
      <c r="X3" s="4"/>
      <c r="Y3" s="4"/>
      <c r="Z3" s="4"/>
      <c r="AA3" t="b">
        <f>VLOOKUP(all_inputs!E3,ui!A$29:B$33,2,FALSE)</f>
        <v>0</v>
      </c>
    </row>
    <row r="4" spans="1:27" hidden="1" x14ac:dyDescent="0.25">
      <c r="A4" t="s">
        <v>12</v>
      </c>
      <c r="B4">
        <f>IF(COUNTIF(dropdown!B$2:B$12,all_inputs!A4)=1,1,IF(COUNTIF(dropdown!C$2:C$4,all_inputs!A4)=1,2,IF(COUNTIF(dropdown!D$2:D$3,all_inputs!A4)=1,3,"?")))</f>
        <v>1</v>
      </c>
      <c r="C4" t="s">
        <v>15</v>
      </c>
      <c r="D4" t="s">
        <v>466</v>
      </c>
      <c r="E4" t="s">
        <v>459</v>
      </c>
      <c r="F4" s="4">
        <v>1</v>
      </c>
      <c r="G4" s="4">
        <f>ui!B$4</f>
        <v>2025</v>
      </c>
      <c r="H4" s="4">
        <f>ui!B$5</f>
        <v>2050</v>
      </c>
      <c r="I4" s="4" t="s">
        <v>93</v>
      </c>
      <c r="J4" s="4" t="str">
        <f>VLOOKUP(ui!B$2,dropdown!M:O,3,FALSE)</f>
        <v>LIC</v>
      </c>
      <c r="K4" s="4"/>
      <c r="L4" s="4"/>
      <c r="M4" s="4"/>
      <c r="N4" s="4">
        <v>1</v>
      </c>
      <c r="O4" s="4"/>
      <c r="P4" s="4"/>
      <c r="Q4" s="4"/>
      <c r="R4" s="4">
        <v>1</v>
      </c>
      <c r="S4" s="4"/>
      <c r="T4" s="4"/>
      <c r="U4" s="4"/>
      <c r="V4" s="4"/>
      <c r="W4" s="4"/>
      <c r="X4" s="4"/>
      <c r="Y4" s="4"/>
      <c r="Z4" s="4"/>
      <c r="AA4" t="b">
        <f>VLOOKUP(all_inputs!E4,ui!A$29:B$33,2,FALSE)</f>
        <v>0</v>
      </c>
    </row>
    <row r="5" spans="1:27" hidden="1" x14ac:dyDescent="0.25">
      <c r="A5" t="s">
        <v>12</v>
      </c>
      <c r="B5">
        <f>IF(COUNTIF(dropdown!B$2:B$12,all_inputs!A5)=1,1,IF(COUNTIF(dropdown!C$2:C$4,all_inputs!A5)=1,2,IF(COUNTIF(dropdown!D$2:D$3,all_inputs!A5)=1,3,"?")))</f>
        <v>1</v>
      </c>
      <c r="C5" t="s">
        <v>16</v>
      </c>
      <c r="D5" t="s">
        <v>467</v>
      </c>
      <c r="E5" t="s">
        <v>459</v>
      </c>
      <c r="F5">
        <f>IF(AND(all_inputs!E5=dropdown!Z$8, COUNTIF(dropdown!Z$9:Z$19,all_inputs!A5)=1), dropdown!U$12, 1)</f>
        <v>1</v>
      </c>
      <c r="G5" s="4">
        <f>ui!B$4</f>
        <v>2025</v>
      </c>
      <c r="H5" s="4">
        <f>ui!B$5</f>
        <v>2050</v>
      </c>
      <c r="I5" s="4" t="s">
        <v>93</v>
      </c>
      <c r="J5" s="4" t="str">
        <f>VLOOKUP(ui!B$2,dropdown!M:O,3,FALSE)</f>
        <v>LIC</v>
      </c>
      <c r="K5" s="4"/>
      <c r="L5" s="4"/>
      <c r="M5" s="4"/>
      <c r="N5" s="4">
        <v>1</v>
      </c>
      <c r="O5" s="4"/>
      <c r="P5" s="4"/>
      <c r="Q5" s="4"/>
      <c r="R5" s="4">
        <v>1</v>
      </c>
      <c r="S5" s="4"/>
      <c r="T5" s="4"/>
      <c r="U5" s="4"/>
      <c r="V5" s="4"/>
      <c r="W5" s="4"/>
      <c r="X5" s="4"/>
      <c r="Y5" s="4"/>
      <c r="Z5" s="4"/>
      <c r="AA5" t="b">
        <f>VLOOKUP(all_inputs!E5,ui!A$29:B$33,2,FALSE)</f>
        <v>0</v>
      </c>
    </row>
    <row r="6" spans="1:27" hidden="1" x14ac:dyDescent="0.25">
      <c r="A6" t="s">
        <v>12</v>
      </c>
      <c r="B6">
        <f>IF(COUNTIF(dropdown!B$2:B$12,all_inputs!A6)=1,1,IF(COUNTIF(dropdown!C$2:C$4,all_inputs!A6)=1,2,IF(COUNTIF(dropdown!D$2:D$3,all_inputs!A6)=1,3,"?")))</f>
        <v>1</v>
      </c>
      <c r="C6" t="s">
        <v>17</v>
      </c>
      <c r="D6" t="s">
        <v>468</v>
      </c>
      <c r="E6" t="s">
        <v>459</v>
      </c>
      <c r="F6">
        <f>IF(AND(all_inputs!E6=dropdown!Z$8, COUNTIF(dropdown!Z$9:Z$19,all_inputs!A6)=1), dropdown!U$13, 1)</f>
        <v>1</v>
      </c>
      <c r="G6" s="4">
        <f>ui!B$4</f>
        <v>2025</v>
      </c>
      <c r="H6" s="4">
        <f>ui!B$5</f>
        <v>2050</v>
      </c>
      <c r="I6" s="4" t="s">
        <v>93</v>
      </c>
      <c r="J6" s="4" t="str">
        <f>VLOOKUP(ui!B$2,dropdown!M:O,3,FALSE)</f>
        <v>LIC</v>
      </c>
      <c r="K6" s="4"/>
      <c r="L6" s="4"/>
      <c r="M6" s="4"/>
      <c r="N6" s="4">
        <v>1</v>
      </c>
      <c r="O6" s="4"/>
      <c r="P6" s="4"/>
      <c r="Q6" s="4"/>
      <c r="R6" s="4">
        <v>1</v>
      </c>
      <c r="S6" s="4"/>
      <c r="T6" s="4"/>
      <c r="U6" s="4"/>
      <c r="V6" s="4"/>
      <c r="W6" s="4"/>
      <c r="X6" s="4"/>
      <c r="Y6" s="4"/>
      <c r="Z6" s="4"/>
      <c r="AA6" t="b">
        <f>VLOOKUP(all_inputs!E6,ui!A$29:B$33,2,FALSE)</f>
        <v>0</v>
      </c>
    </row>
    <row r="7" spans="1:27" hidden="1" x14ac:dyDescent="0.25">
      <c r="A7" s="2" t="s">
        <v>12</v>
      </c>
      <c r="B7" s="2">
        <f>IF(COUNTIF(dropdown!B$2:B$12,all_inputs!A7)=1,1,IF(COUNTIF(dropdown!C$2:C$4,all_inputs!A7)=1,2,IF(COUNTIF(dropdown!D$2:D$3,all_inputs!A7)=1,3,"?")))</f>
        <v>1</v>
      </c>
      <c r="C7" s="2" t="s">
        <v>18</v>
      </c>
      <c r="D7" s="2" t="s">
        <v>469</v>
      </c>
      <c r="E7" s="2" t="s">
        <v>459</v>
      </c>
      <c r="F7" s="2">
        <f>IF(AND(all_inputs!E7=dropdown!Z$8, COUNTIF(dropdown!Z$9:Z$19,all_inputs!A7)=1), dropdown!U$14, 1)</f>
        <v>1</v>
      </c>
      <c r="G7" s="5">
        <f>ui!B$4</f>
        <v>2025</v>
      </c>
      <c r="H7" s="5">
        <f>ui!B$5</f>
        <v>2050</v>
      </c>
      <c r="I7" s="5" t="s">
        <v>93</v>
      </c>
      <c r="J7" s="5" t="str">
        <f>VLOOKUP(ui!B$2,dropdown!M:O,3,FALSE)</f>
        <v>LIC</v>
      </c>
      <c r="K7" s="5"/>
      <c r="L7" s="5"/>
      <c r="M7" s="5"/>
      <c r="N7" s="5">
        <v>1</v>
      </c>
      <c r="O7" s="5"/>
      <c r="P7" s="5"/>
      <c r="Q7" s="5"/>
      <c r="R7" s="5">
        <v>1</v>
      </c>
      <c r="S7" s="5"/>
      <c r="T7" s="5"/>
      <c r="U7" s="5"/>
      <c r="V7" s="5"/>
      <c r="W7" s="5"/>
      <c r="X7" s="5"/>
      <c r="Y7" s="5"/>
      <c r="Z7" s="5"/>
      <c r="AA7" s="2" t="b">
        <f>VLOOKUP(all_inputs!E7,ui!A$29:B$33,2,FALSE)</f>
        <v>0</v>
      </c>
    </row>
    <row r="8" spans="1:27" hidden="1" x14ac:dyDescent="0.25">
      <c r="A8" t="s">
        <v>19</v>
      </c>
      <c r="B8">
        <f>IF(COUNTIF(dropdown!B$2:B$12,all_inputs!A8)=1,1,IF(COUNTIF(dropdown!C$2:C$4,all_inputs!A8)=1,2,IF(COUNTIF(dropdown!D$2:D$3,all_inputs!A8)=1,3,"?")))</f>
        <v>2</v>
      </c>
      <c r="C8" t="s">
        <v>13</v>
      </c>
      <c r="D8" t="s">
        <v>472</v>
      </c>
      <c r="E8" t="s">
        <v>459</v>
      </c>
      <c r="F8">
        <f>IF(AND(all_inputs!E8=dropdown!Z$8, COUNTIF(dropdown!Z$9:Z$19,all_inputs!A8)=1), dropdown!U$9, 1)</f>
        <v>1</v>
      </c>
      <c r="G8" s="4">
        <f>ui!B$4</f>
        <v>2025</v>
      </c>
      <c r="H8" s="4">
        <f>ui!B$5</f>
        <v>2050</v>
      </c>
      <c r="I8" s="4" t="s">
        <v>93</v>
      </c>
      <c r="J8" s="4" t="str">
        <f>VLOOKUP(ui!B$2,dropdown!M:O,3,FALSE)</f>
        <v>LIC</v>
      </c>
      <c r="K8" s="4"/>
      <c r="L8" s="4"/>
      <c r="M8" s="4"/>
      <c r="N8" s="4">
        <v>1</v>
      </c>
      <c r="O8" s="4"/>
      <c r="P8" s="4"/>
      <c r="Q8" s="4"/>
      <c r="R8" s="4">
        <v>1</v>
      </c>
      <c r="S8" s="4"/>
      <c r="T8" s="4"/>
      <c r="U8" s="4"/>
      <c r="V8" s="4"/>
      <c r="W8" s="4"/>
      <c r="X8" s="4"/>
      <c r="Y8" s="4"/>
      <c r="Z8" s="4"/>
      <c r="AA8" t="b">
        <f>VLOOKUP(all_inputs!E8,ui!A$29:B$33,2,FALSE)</f>
        <v>0</v>
      </c>
    </row>
    <row r="9" spans="1:27" hidden="1" x14ac:dyDescent="0.25">
      <c r="A9" t="s">
        <v>19</v>
      </c>
      <c r="B9">
        <f>IF(COUNTIF(dropdown!B$2:B$12,all_inputs!A9)=1,1,IF(COUNTIF(dropdown!C$2:C$4,all_inputs!A9)=1,2,IF(COUNTIF(dropdown!D$2:D$3,all_inputs!A9)=1,3,"?")))</f>
        <v>2</v>
      </c>
      <c r="C9" t="s">
        <v>14</v>
      </c>
      <c r="D9" t="s">
        <v>466</v>
      </c>
      <c r="E9" t="s">
        <v>459</v>
      </c>
      <c r="F9" s="4">
        <v>1</v>
      </c>
      <c r="G9" s="4">
        <f>ui!B$4</f>
        <v>2025</v>
      </c>
      <c r="H9" s="4">
        <f>ui!B$5</f>
        <v>2050</v>
      </c>
      <c r="I9" s="4" t="s">
        <v>93</v>
      </c>
      <c r="J9" s="4" t="str">
        <f>VLOOKUP(ui!B$2,dropdown!M:O,3,FALSE)</f>
        <v>LIC</v>
      </c>
      <c r="K9" s="4"/>
      <c r="L9" s="4"/>
      <c r="M9" s="4"/>
      <c r="N9" s="4">
        <v>1</v>
      </c>
      <c r="O9" s="4"/>
      <c r="P9" s="4"/>
      <c r="Q9" s="4"/>
      <c r="R9" s="4">
        <v>1</v>
      </c>
      <c r="S9" s="4"/>
      <c r="T9" s="4"/>
      <c r="U9" s="4"/>
      <c r="V9" s="4"/>
      <c r="W9" s="4"/>
      <c r="X9" s="4"/>
      <c r="Y9" s="4"/>
      <c r="Z9" s="4"/>
      <c r="AA9" t="b">
        <f>VLOOKUP(all_inputs!E9,ui!A$29:B$33,2,FALSE)</f>
        <v>0</v>
      </c>
    </row>
    <row r="10" spans="1:27" hidden="1" x14ac:dyDescent="0.25">
      <c r="A10" t="s">
        <v>19</v>
      </c>
      <c r="B10">
        <f>IF(COUNTIF(dropdown!B$2:B$12,all_inputs!A10)=1,1,IF(COUNTIF(dropdown!C$2:C$4,all_inputs!A10)=1,2,IF(COUNTIF(dropdown!D$2:D$3,all_inputs!A10)=1,3,"?")))</f>
        <v>2</v>
      </c>
      <c r="C10" t="s">
        <v>15</v>
      </c>
      <c r="D10" t="s">
        <v>466</v>
      </c>
      <c r="E10" t="s">
        <v>459</v>
      </c>
      <c r="F10">
        <f>IF(AND(all_inputs!E10=dropdown!Z$8, COUNTIF(dropdown!Z$9:Z$19,all_inputs!A10)=1), dropdown!U$11, 1)</f>
        <v>1</v>
      </c>
      <c r="G10" s="4">
        <f>ui!B$4</f>
        <v>2025</v>
      </c>
      <c r="H10" s="4">
        <f>ui!B$5</f>
        <v>2050</v>
      </c>
      <c r="I10" s="4" t="s">
        <v>93</v>
      </c>
      <c r="J10" s="4" t="str">
        <f>VLOOKUP(ui!B$2,dropdown!M:O,3,FALSE)</f>
        <v>LIC</v>
      </c>
      <c r="K10" s="4"/>
      <c r="L10" s="4"/>
      <c r="M10" s="4"/>
      <c r="N10" s="4">
        <v>1</v>
      </c>
      <c r="O10" s="4"/>
      <c r="P10" s="4"/>
      <c r="Q10" s="4"/>
      <c r="R10" s="4">
        <v>1</v>
      </c>
      <c r="S10" s="4"/>
      <c r="T10" s="4"/>
      <c r="U10" s="4"/>
      <c r="V10" s="4"/>
      <c r="W10" s="4"/>
      <c r="X10" s="4"/>
      <c r="Y10" s="4"/>
      <c r="Z10" s="4"/>
      <c r="AA10" t="b">
        <f>VLOOKUP(all_inputs!E10,ui!A$29:B$33,2,FALSE)</f>
        <v>0</v>
      </c>
    </row>
    <row r="11" spans="1:27" hidden="1" x14ac:dyDescent="0.25">
      <c r="A11" t="s">
        <v>19</v>
      </c>
      <c r="B11">
        <f>IF(COUNTIF(dropdown!B$2:B$12,all_inputs!A11)=1,1,IF(COUNTIF(dropdown!C$2:C$4,all_inputs!A11)=1,2,IF(COUNTIF(dropdown!D$2:D$3,all_inputs!A11)=1,3,"?")))</f>
        <v>2</v>
      </c>
      <c r="C11" t="s">
        <v>16</v>
      </c>
      <c r="D11" t="s">
        <v>467</v>
      </c>
      <c r="E11" t="s">
        <v>459</v>
      </c>
      <c r="F11">
        <f>IF(AND(all_inputs!E11=dropdown!Z$8, COUNTIF(dropdown!Z$9:Z$19,all_inputs!A11)=1), dropdown!U$12, 1)</f>
        <v>1</v>
      </c>
      <c r="G11" s="4">
        <f>ui!B$4</f>
        <v>2025</v>
      </c>
      <c r="H11" s="4">
        <f>ui!B$5</f>
        <v>2050</v>
      </c>
      <c r="I11" s="4" t="s">
        <v>93</v>
      </c>
      <c r="J11" s="4" t="str">
        <f>VLOOKUP(ui!B$2,dropdown!M:O,3,FALSE)</f>
        <v>LIC</v>
      </c>
      <c r="K11" s="4"/>
      <c r="L11" s="4"/>
      <c r="M11" s="4"/>
      <c r="N11" s="4">
        <v>1</v>
      </c>
      <c r="O11" s="4"/>
      <c r="P11" s="4"/>
      <c r="Q11" s="4"/>
      <c r="R11" s="4">
        <v>1</v>
      </c>
      <c r="S11" s="4"/>
      <c r="T11" s="4"/>
      <c r="U11" s="4"/>
      <c r="V11" s="4"/>
      <c r="W11" s="4"/>
      <c r="X11" s="4"/>
      <c r="Y11" s="4"/>
      <c r="Z11" s="4"/>
      <c r="AA11" t="b">
        <f>VLOOKUP(all_inputs!E11,ui!A$29:B$33,2,FALSE)</f>
        <v>0</v>
      </c>
    </row>
    <row r="12" spans="1:27" hidden="1" x14ac:dyDescent="0.25">
      <c r="A12" t="s">
        <v>19</v>
      </c>
      <c r="B12">
        <f>IF(COUNTIF(dropdown!B$2:B$12,all_inputs!A12)=1,1,IF(COUNTIF(dropdown!C$2:C$4,all_inputs!A12)=1,2,IF(COUNTIF(dropdown!D$2:D$3,all_inputs!A12)=1,3,"?")))</f>
        <v>2</v>
      </c>
      <c r="C12" t="s">
        <v>17</v>
      </c>
      <c r="D12" t="s">
        <v>468</v>
      </c>
      <c r="E12" t="s">
        <v>459</v>
      </c>
      <c r="F12">
        <f>IF(AND(all_inputs!E12=dropdown!Z$8, COUNTIF(dropdown!Z$9:Z$19,all_inputs!A12)=1), dropdown!U$13, 1)</f>
        <v>1</v>
      </c>
      <c r="G12" s="4">
        <f>ui!B$4</f>
        <v>2025</v>
      </c>
      <c r="H12" s="4">
        <f>ui!B$5</f>
        <v>2050</v>
      </c>
      <c r="I12" s="4" t="s">
        <v>93</v>
      </c>
      <c r="J12" s="4" t="str">
        <f>VLOOKUP(ui!B$2,dropdown!M:O,3,FALSE)</f>
        <v>LIC</v>
      </c>
      <c r="K12" s="4"/>
      <c r="L12" s="4"/>
      <c r="M12" s="4"/>
      <c r="N12" s="4">
        <v>1</v>
      </c>
      <c r="O12" s="4"/>
      <c r="P12" s="4"/>
      <c r="Q12" s="4"/>
      <c r="R12" s="4">
        <v>1</v>
      </c>
      <c r="S12" s="4"/>
      <c r="T12" s="4"/>
      <c r="U12" s="4"/>
      <c r="V12" s="4"/>
      <c r="W12" s="4"/>
      <c r="X12" s="4"/>
      <c r="Y12" s="4"/>
      <c r="Z12" s="4"/>
      <c r="AA12" t="b">
        <f>VLOOKUP(all_inputs!E12,ui!A$29:B$33,2,FALSE)</f>
        <v>0</v>
      </c>
    </row>
    <row r="13" spans="1:27" hidden="1" x14ac:dyDescent="0.25">
      <c r="A13" s="2" t="s">
        <v>19</v>
      </c>
      <c r="B13" s="2">
        <f>IF(COUNTIF(dropdown!B$2:B$12,all_inputs!A13)=1,1,IF(COUNTIF(dropdown!C$2:C$4,all_inputs!A13)=1,2,IF(COUNTIF(dropdown!D$2:D$3,all_inputs!A13)=1,3,"?")))</f>
        <v>2</v>
      </c>
      <c r="C13" s="2" t="s">
        <v>18</v>
      </c>
      <c r="D13" s="2" t="s">
        <v>469</v>
      </c>
      <c r="E13" s="2" t="s">
        <v>459</v>
      </c>
      <c r="F13" s="2">
        <f>IF(AND(all_inputs!E13=dropdown!Z$8, COUNTIF(dropdown!Z$9:Z$19,all_inputs!A13)=1), dropdown!U$14, 1)</f>
        <v>1</v>
      </c>
      <c r="G13" s="5">
        <f>ui!B$4</f>
        <v>2025</v>
      </c>
      <c r="H13" s="5">
        <f>ui!B$5</f>
        <v>2050</v>
      </c>
      <c r="I13" s="5" t="s">
        <v>93</v>
      </c>
      <c r="J13" s="5" t="str">
        <f>VLOOKUP(ui!B$2,dropdown!M:O,3,FALSE)</f>
        <v>LIC</v>
      </c>
      <c r="K13" s="5"/>
      <c r="L13" s="5"/>
      <c r="M13" s="5"/>
      <c r="N13" s="5">
        <v>1</v>
      </c>
      <c r="O13" s="5"/>
      <c r="P13" s="5"/>
      <c r="Q13" s="5"/>
      <c r="R13" s="5">
        <v>1</v>
      </c>
      <c r="S13" s="5"/>
      <c r="T13" s="5"/>
      <c r="U13" s="5"/>
      <c r="V13" s="5"/>
      <c r="W13" s="5"/>
      <c r="X13" s="5"/>
      <c r="Y13" s="5"/>
      <c r="Z13" s="5"/>
      <c r="AA13" s="2" t="b">
        <f>VLOOKUP(all_inputs!E13,ui!A$29:B$33,2,FALSE)</f>
        <v>0</v>
      </c>
    </row>
    <row r="14" spans="1:27" hidden="1" x14ac:dyDescent="0.25">
      <c r="A14" t="s">
        <v>20</v>
      </c>
      <c r="B14">
        <f>IF(COUNTIF(dropdown!B$2:B$12,all_inputs!A14)=1,1,IF(COUNTIF(dropdown!C$2:C$4,all_inputs!A14)=1,2,IF(COUNTIF(dropdown!D$2:D$3,all_inputs!A14)=1,3,"?")))</f>
        <v>3</v>
      </c>
      <c r="C14" t="s">
        <v>13</v>
      </c>
      <c r="D14" t="s">
        <v>472</v>
      </c>
      <c r="E14" t="s">
        <v>459</v>
      </c>
      <c r="F14">
        <f>IF(AND(all_inputs!E14=dropdown!Z$8, COUNTIF(dropdown!Z$9:Z$19,all_inputs!A14)=1), dropdown!U$9, 1)</f>
        <v>1</v>
      </c>
      <c r="G14" s="4">
        <f>ui!B$4</f>
        <v>2025</v>
      </c>
      <c r="H14" s="4">
        <f>ui!B$5</f>
        <v>2050</v>
      </c>
      <c r="I14" s="4" t="s">
        <v>93</v>
      </c>
      <c r="J14" s="4" t="str">
        <f>VLOOKUP(ui!B$2,dropdown!M:O,3,FALSE)</f>
        <v>LIC</v>
      </c>
      <c r="K14" s="4"/>
      <c r="L14" s="4"/>
      <c r="M14" s="4"/>
      <c r="N14" s="4">
        <v>1</v>
      </c>
      <c r="O14" s="4"/>
      <c r="P14" s="4"/>
      <c r="Q14" s="4"/>
      <c r="R14" s="4">
        <v>1</v>
      </c>
      <c r="S14" s="4"/>
      <c r="T14" s="4"/>
      <c r="U14" s="4"/>
      <c r="V14" s="4"/>
      <c r="W14" s="4"/>
      <c r="X14" s="4"/>
      <c r="Y14" s="4"/>
      <c r="Z14" s="4"/>
      <c r="AA14" t="b">
        <f>VLOOKUP(all_inputs!E14,ui!A$29:B$33,2,FALSE)</f>
        <v>0</v>
      </c>
    </row>
    <row r="15" spans="1:27" hidden="1" x14ac:dyDescent="0.25">
      <c r="A15" t="s">
        <v>20</v>
      </c>
      <c r="B15">
        <f>IF(COUNTIF(dropdown!B$2:B$12,all_inputs!A15)=1,1,IF(COUNTIF(dropdown!C$2:C$4,all_inputs!A15)=1,2,IF(COUNTIF(dropdown!D$2:D$3,all_inputs!A15)=1,3,"?")))</f>
        <v>3</v>
      </c>
      <c r="C15" t="s">
        <v>14</v>
      </c>
      <c r="D15" t="s">
        <v>466</v>
      </c>
      <c r="E15" t="s">
        <v>459</v>
      </c>
      <c r="F15" s="4">
        <v>1</v>
      </c>
      <c r="G15" s="4">
        <f>ui!B$4</f>
        <v>2025</v>
      </c>
      <c r="H15" s="4">
        <f>ui!B$5</f>
        <v>2050</v>
      </c>
      <c r="I15" s="4" t="s">
        <v>93</v>
      </c>
      <c r="J15" s="4" t="str">
        <f>VLOOKUP(ui!B$2,dropdown!M:O,3,FALSE)</f>
        <v>LIC</v>
      </c>
      <c r="K15" s="4"/>
      <c r="L15" s="4"/>
      <c r="M15" s="4"/>
      <c r="N15" s="4">
        <v>1</v>
      </c>
      <c r="O15" s="4"/>
      <c r="P15" s="4"/>
      <c r="Q15" s="4"/>
      <c r="R15" s="4">
        <v>1</v>
      </c>
      <c r="S15" s="4"/>
      <c r="T15" s="4"/>
      <c r="U15" s="4"/>
      <c r="V15" s="4"/>
      <c r="W15" s="4"/>
      <c r="X15" s="4"/>
      <c r="Y15" s="4"/>
      <c r="Z15" s="4"/>
      <c r="AA15" t="b">
        <f>VLOOKUP(all_inputs!E15,ui!A$29:B$33,2,FALSE)</f>
        <v>0</v>
      </c>
    </row>
    <row r="16" spans="1:27" hidden="1" x14ac:dyDescent="0.25">
      <c r="A16" t="s">
        <v>20</v>
      </c>
      <c r="B16">
        <f>IF(COUNTIF(dropdown!B$2:B$12,all_inputs!A16)=1,1,IF(COUNTIF(dropdown!C$2:C$4,all_inputs!A16)=1,2,IF(COUNTIF(dropdown!D$2:D$3,all_inputs!A16)=1,3,"?")))</f>
        <v>3</v>
      </c>
      <c r="C16" t="s">
        <v>15</v>
      </c>
      <c r="D16" t="s">
        <v>466</v>
      </c>
      <c r="E16" t="s">
        <v>459</v>
      </c>
      <c r="F16">
        <f>IF(AND(all_inputs!E16=dropdown!Z$8, COUNTIF(dropdown!Z$9:Z$19,all_inputs!A16)=1), dropdown!U$11, 1)</f>
        <v>1</v>
      </c>
      <c r="G16" s="4">
        <f>ui!B$4</f>
        <v>2025</v>
      </c>
      <c r="H16" s="4">
        <f>ui!B$5</f>
        <v>2050</v>
      </c>
      <c r="I16" s="4" t="s">
        <v>93</v>
      </c>
      <c r="J16" s="4" t="str">
        <f>VLOOKUP(ui!B$2,dropdown!M:O,3,FALSE)</f>
        <v>LIC</v>
      </c>
      <c r="K16" s="4"/>
      <c r="L16" s="4"/>
      <c r="M16" s="4"/>
      <c r="N16" s="4">
        <v>1</v>
      </c>
      <c r="O16" s="4"/>
      <c r="P16" s="4"/>
      <c r="Q16" s="4"/>
      <c r="R16" s="4">
        <v>1</v>
      </c>
      <c r="S16" s="4"/>
      <c r="T16" s="4"/>
      <c r="U16" s="4"/>
      <c r="V16" s="4"/>
      <c r="W16" s="4"/>
      <c r="X16" s="4"/>
      <c r="Y16" s="4"/>
      <c r="Z16" s="4"/>
      <c r="AA16" t="b">
        <f>VLOOKUP(all_inputs!E16,ui!A$29:B$33,2,FALSE)</f>
        <v>0</v>
      </c>
    </row>
    <row r="17" spans="1:27" hidden="1" x14ac:dyDescent="0.25">
      <c r="A17" t="s">
        <v>20</v>
      </c>
      <c r="B17">
        <f>IF(COUNTIF(dropdown!B$2:B$12,all_inputs!A17)=1,1,IF(COUNTIF(dropdown!C$2:C$4,all_inputs!A17)=1,2,IF(COUNTIF(dropdown!D$2:D$3,all_inputs!A17)=1,3,"?")))</f>
        <v>3</v>
      </c>
      <c r="C17" t="s">
        <v>16</v>
      </c>
      <c r="D17" t="s">
        <v>467</v>
      </c>
      <c r="E17" t="s">
        <v>459</v>
      </c>
      <c r="F17">
        <f>IF(AND(all_inputs!E17=dropdown!Z$8, COUNTIF(dropdown!Z$9:Z$19,all_inputs!A17)=1), dropdown!U$12, 1)</f>
        <v>1</v>
      </c>
      <c r="G17" s="4">
        <f>ui!B$4</f>
        <v>2025</v>
      </c>
      <c r="H17" s="4">
        <f>ui!B$5</f>
        <v>2050</v>
      </c>
      <c r="I17" s="4" t="s">
        <v>93</v>
      </c>
      <c r="J17" s="4" t="str">
        <f>VLOOKUP(ui!B$2,dropdown!M:O,3,FALSE)</f>
        <v>LIC</v>
      </c>
      <c r="K17" s="4"/>
      <c r="L17" s="4"/>
      <c r="M17" s="4"/>
      <c r="N17" s="4">
        <v>1</v>
      </c>
      <c r="O17" s="4"/>
      <c r="P17" s="4"/>
      <c r="Q17" s="4"/>
      <c r="R17" s="4">
        <v>1</v>
      </c>
      <c r="S17" s="4"/>
      <c r="T17" s="4"/>
      <c r="U17" s="4"/>
      <c r="V17" s="4"/>
      <c r="W17" s="4"/>
      <c r="X17" s="4"/>
      <c r="Y17" s="4"/>
      <c r="Z17" s="4"/>
      <c r="AA17" t="b">
        <f>VLOOKUP(all_inputs!E17,ui!A$29:B$33,2,FALSE)</f>
        <v>0</v>
      </c>
    </row>
    <row r="18" spans="1:27" hidden="1" x14ac:dyDescent="0.25">
      <c r="A18" t="s">
        <v>20</v>
      </c>
      <c r="B18">
        <f>IF(COUNTIF(dropdown!B$2:B$12,all_inputs!A18)=1,1,IF(COUNTIF(dropdown!C$2:C$4,all_inputs!A18)=1,2,IF(COUNTIF(dropdown!D$2:D$3,all_inputs!A18)=1,3,"?")))</f>
        <v>3</v>
      </c>
      <c r="C18" t="s">
        <v>17</v>
      </c>
      <c r="D18" t="s">
        <v>468</v>
      </c>
      <c r="E18" t="s">
        <v>459</v>
      </c>
      <c r="F18">
        <f>IF(AND(all_inputs!E18=dropdown!Z$8, COUNTIF(dropdown!Z$9:Z$19,all_inputs!A18)=1), dropdown!U$13, 1)</f>
        <v>1</v>
      </c>
      <c r="G18" s="4">
        <f>ui!B$4</f>
        <v>2025</v>
      </c>
      <c r="H18" s="4">
        <f>ui!B$5</f>
        <v>2050</v>
      </c>
      <c r="I18" s="4" t="s">
        <v>93</v>
      </c>
      <c r="J18" s="4" t="str">
        <f>VLOOKUP(ui!B$2,dropdown!M:O,3,FALSE)</f>
        <v>LIC</v>
      </c>
      <c r="K18" s="4"/>
      <c r="L18" s="4"/>
      <c r="M18" s="4"/>
      <c r="N18" s="4">
        <v>1</v>
      </c>
      <c r="O18" s="4"/>
      <c r="P18" s="4"/>
      <c r="Q18" s="4"/>
      <c r="R18" s="4">
        <v>1</v>
      </c>
      <c r="S18" s="4"/>
      <c r="T18" s="4"/>
      <c r="U18" s="4"/>
      <c r="V18" s="4"/>
      <c r="W18" s="4"/>
      <c r="X18" s="4"/>
      <c r="Y18" s="4"/>
      <c r="Z18" s="4"/>
      <c r="AA18" t="b">
        <f>VLOOKUP(all_inputs!E18,ui!A$29:B$33,2,FALSE)</f>
        <v>0</v>
      </c>
    </row>
    <row r="19" spans="1:27" hidden="1" x14ac:dyDescent="0.25">
      <c r="A19" s="2" t="s">
        <v>20</v>
      </c>
      <c r="B19" s="2">
        <f>IF(COUNTIF(dropdown!B$2:B$12,all_inputs!A19)=1,1,IF(COUNTIF(dropdown!C$2:C$4,all_inputs!A19)=1,2,IF(COUNTIF(dropdown!D$2:D$3,all_inputs!A19)=1,3,"?")))</f>
        <v>3</v>
      </c>
      <c r="C19" s="2" t="s">
        <v>18</v>
      </c>
      <c r="D19" s="2" t="s">
        <v>469</v>
      </c>
      <c r="E19" s="2" t="s">
        <v>459</v>
      </c>
      <c r="F19" s="2">
        <f>IF(AND(all_inputs!E19=dropdown!Z$8, COUNTIF(dropdown!Z$9:Z$19,all_inputs!A19)=1), dropdown!U$14, 1)</f>
        <v>1</v>
      </c>
      <c r="G19" s="5">
        <f>ui!B$4</f>
        <v>2025</v>
      </c>
      <c r="H19" s="5">
        <f>ui!B$5</f>
        <v>2050</v>
      </c>
      <c r="I19" s="5" t="s">
        <v>93</v>
      </c>
      <c r="J19" s="5" t="str">
        <f>VLOOKUP(ui!B$2,dropdown!M:O,3,FALSE)</f>
        <v>LIC</v>
      </c>
      <c r="K19" s="5"/>
      <c r="L19" s="5"/>
      <c r="M19" s="5"/>
      <c r="N19" s="5">
        <v>1</v>
      </c>
      <c r="O19" s="5"/>
      <c r="P19" s="5"/>
      <c r="Q19" s="5"/>
      <c r="R19" s="5">
        <v>1</v>
      </c>
      <c r="S19" s="5"/>
      <c r="T19" s="5"/>
      <c r="U19" s="5"/>
      <c r="V19" s="5"/>
      <c r="W19" s="5"/>
      <c r="X19" s="5"/>
      <c r="Y19" s="5"/>
      <c r="Z19" s="5"/>
      <c r="AA19" s="2" t="b">
        <f>VLOOKUP(all_inputs!E19,ui!A$29:B$33,2,FALSE)</f>
        <v>0</v>
      </c>
    </row>
    <row r="20" spans="1:27" hidden="1" x14ac:dyDescent="0.25">
      <c r="A20" t="s">
        <v>21</v>
      </c>
      <c r="B20">
        <f>IF(COUNTIF(dropdown!B$2:B$12,all_inputs!A20)=1,1,IF(COUNTIF(dropdown!C$2:C$4,all_inputs!A20)=1,2,IF(COUNTIF(dropdown!D$2:D$3,all_inputs!A20)=1,3,"?")))</f>
        <v>3</v>
      </c>
      <c r="C20" t="s">
        <v>13</v>
      </c>
      <c r="D20" t="s">
        <v>472</v>
      </c>
      <c r="E20" t="s">
        <v>459</v>
      </c>
      <c r="F20">
        <f>IF(AND(all_inputs!E20=dropdown!Z$8, COUNTIF(dropdown!Z$9:Z$19,all_inputs!A20)=1), dropdown!U$9, 1)</f>
        <v>1</v>
      </c>
      <c r="G20" s="4">
        <f>ui!B$4</f>
        <v>2025</v>
      </c>
      <c r="H20" s="4">
        <f>ui!B$5</f>
        <v>2050</v>
      </c>
      <c r="I20" s="4" t="s">
        <v>93</v>
      </c>
      <c r="J20" s="4" t="str">
        <f>VLOOKUP(ui!B$2,dropdown!M:O,3,FALSE)</f>
        <v>LIC</v>
      </c>
      <c r="K20" s="4"/>
      <c r="L20" s="4"/>
      <c r="M20" s="4"/>
      <c r="N20" s="4">
        <v>1</v>
      </c>
      <c r="O20" s="4"/>
      <c r="P20" s="4"/>
      <c r="Q20" s="4"/>
      <c r="R20" s="4">
        <v>1</v>
      </c>
      <c r="S20" s="4"/>
      <c r="T20" s="4"/>
      <c r="U20" s="4"/>
      <c r="V20" s="4"/>
      <c r="W20" s="4"/>
      <c r="X20" s="4"/>
      <c r="Y20" s="4"/>
      <c r="Z20" s="4"/>
      <c r="AA20" t="b">
        <f>VLOOKUP(all_inputs!E20,ui!A$29:B$33,2,FALSE)</f>
        <v>0</v>
      </c>
    </row>
    <row r="21" spans="1:27" hidden="1" x14ac:dyDescent="0.25">
      <c r="A21" t="s">
        <v>21</v>
      </c>
      <c r="B21">
        <f>IF(COUNTIF(dropdown!B$2:B$12,all_inputs!A21)=1,1,IF(COUNTIF(dropdown!C$2:C$4,all_inputs!A21)=1,2,IF(COUNTIF(dropdown!D$2:D$3,all_inputs!A21)=1,3,"?")))</f>
        <v>3</v>
      </c>
      <c r="C21" t="s">
        <v>14</v>
      </c>
      <c r="D21" t="s">
        <v>466</v>
      </c>
      <c r="E21" t="s">
        <v>459</v>
      </c>
      <c r="F21" s="4">
        <v>1</v>
      </c>
      <c r="G21" s="4">
        <f>ui!B$4</f>
        <v>2025</v>
      </c>
      <c r="H21" s="4">
        <f>ui!B$5</f>
        <v>2050</v>
      </c>
      <c r="I21" s="4" t="s">
        <v>93</v>
      </c>
      <c r="J21" s="4" t="str">
        <f>VLOOKUP(ui!B$2,dropdown!M:O,3,FALSE)</f>
        <v>LIC</v>
      </c>
      <c r="K21" s="4"/>
      <c r="L21" s="4"/>
      <c r="M21" s="4"/>
      <c r="N21" s="4">
        <v>1</v>
      </c>
      <c r="O21" s="4"/>
      <c r="P21" s="4"/>
      <c r="Q21" s="4"/>
      <c r="R21" s="4">
        <v>1</v>
      </c>
      <c r="S21" s="4"/>
      <c r="T21" s="4"/>
      <c r="U21" s="4"/>
      <c r="V21" s="4"/>
      <c r="W21" s="4"/>
      <c r="X21" s="4"/>
      <c r="Y21" s="4"/>
      <c r="Z21" s="4"/>
      <c r="AA21" t="b">
        <f>VLOOKUP(all_inputs!E21,ui!A$29:B$33,2,FALSE)</f>
        <v>0</v>
      </c>
    </row>
    <row r="22" spans="1:27" hidden="1" x14ac:dyDescent="0.25">
      <c r="A22" t="s">
        <v>21</v>
      </c>
      <c r="B22">
        <f>IF(COUNTIF(dropdown!B$2:B$12,all_inputs!A22)=1,1,IF(COUNTIF(dropdown!C$2:C$4,all_inputs!A22)=1,2,IF(COUNTIF(dropdown!D$2:D$3,all_inputs!A22)=1,3,"?")))</f>
        <v>3</v>
      </c>
      <c r="C22" t="s">
        <v>15</v>
      </c>
      <c r="D22" t="s">
        <v>466</v>
      </c>
      <c r="E22" t="s">
        <v>459</v>
      </c>
      <c r="F22">
        <f>IF(AND(all_inputs!E22=dropdown!Z$8, COUNTIF(dropdown!Z$9:Z$19,all_inputs!A22)=1), dropdown!U$11, 1)</f>
        <v>1</v>
      </c>
      <c r="G22" s="4">
        <f>ui!B$4</f>
        <v>2025</v>
      </c>
      <c r="H22" s="4">
        <f>ui!B$5</f>
        <v>2050</v>
      </c>
      <c r="I22" s="4" t="s">
        <v>93</v>
      </c>
      <c r="J22" s="4" t="str">
        <f>VLOOKUP(ui!B$2,dropdown!M:O,3,FALSE)</f>
        <v>LIC</v>
      </c>
      <c r="K22" s="4"/>
      <c r="L22" s="4"/>
      <c r="M22" s="4"/>
      <c r="N22" s="4">
        <v>1</v>
      </c>
      <c r="O22" s="4"/>
      <c r="P22" s="4"/>
      <c r="Q22" s="4"/>
      <c r="R22" s="4">
        <v>1</v>
      </c>
      <c r="S22" s="4"/>
      <c r="T22" s="4"/>
      <c r="U22" s="4"/>
      <c r="V22" s="4"/>
      <c r="W22" s="4"/>
      <c r="X22" s="4"/>
      <c r="Y22" s="4"/>
      <c r="Z22" s="4"/>
      <c r="AA22" t="b">
        <f>VLOOKUP(all_inputs!E22,ui!A$29:B$33,2,FALSE)</f>
        <v>0</v>
      </c>
    </row>
    <row r="23" spans="1:27" hidden="1" x14ac:dyDescent="0.25">
      <c r="A23" t="s">
        <v>21</v>
      </c>
      <c r="B23">
        <f>IF(COUNTIF(dropdown!B$2:B$12,all_inputs!A23)=1,1,IF(COUNTIF(dropdown!C$2:C$4,all_inputs!A23)=1,2,IF(COUNTIF(dropdown!D$2:D$3,all_inputs!A23)=1,3,"?")))</f>
        <v>3</v>
      </c>
      <c r="C23" t="s">
        <v>16</v>
      </c>
      <c r="D23" t="s">
        <v>467</v>
      </c>
      <c r="E23" t="s">
        <v>459</v>
      </c>
      <c r="F23">
        <f>IF(AND(all_inputs!E23=dropdown!Z$8, COUNTIF(dropdown!Z$9:Z$19,all_inputs!A23)=1), dropdown!U$12, 1)</f>
        <v>1</v>
      </c>
      <c r="G23" s="4">
        <f>ui!B$4</f>
        <v>2025</v>
      </c>
      <c r="H23" s="4">
        <f>ui!B$5</f>
        <v>2050</v>
      </c>
      <c r="I23" s="4" t="s">
        <v>93</v>
      </c>
      <c r="J23" s="4" t="str">
        <f>VLOOKUP(ui!B$2,dropdown!M:O,3,FALSE)</f>
        <v>LIC</v>
      </c>
      <c r="K23" s="4"/>
      <c r="L23" s="4"/>
      <c r="M23" s="4"/>
      <c r="N23" s="4">
        <v>1</v>
      </c>
      <c r="O23" s="4"/>
      <c r="P23" s="4"/>
      <c r="Q23" s="4"/>
      <c r="R23" s="4">
        <v>1</v>
      </c>
      <c r="S23" s="4"/>
      <c r="T23" s="4"/>
      <c r="U23" s="4"/>
      <c r="V23" s="4"/>
      <c r="W23" s="4"/>
      <c r="X23" s="4"/>
      <c r="Y23" s="4"/>
      <c r="Z23" s="4"/>
      <c r="AA23" t="b">
        <f>VLOOKUP(all_inputs!E23,ui!A$29:B$33,2,FALSE)</f>
        <v>0</v>
      </c>
    </row>
    <row r="24" spans="1:27" hidden="1" x14ac:dyDescent="0.25">
      <c r="A24" t="s">
        <v>21</v>
      </c>
      <c r="B24">
        <f>IF(COUNTIF(dropdown!B$2:B$12,all_inputs!A24)=1,1,IF(COUNTIF(dropdown!C$2:C$4,all_inputs!A24)=1,2,IF(COUNTIF(dropdown!D$2:D$3,all_inputs!A24)=1,3,"?")))</f>
        <v>3</v>
      </c>
      <c r="C24" t="s">
        <v>17</v>
      </c>
      <c r="D24" t="s">
        <v>468</v>
      </c>
      <c r="E24" t="s">
        <v>459</v>
      </c>
      <c r="F24">
        <f>IF(AND(all_inputs!E24=dropdown!Z$8, COUNTIF(dropdown!Z$9:Z$19,all_inputs!A24)=1), dropdown!U$13, 1)</f>
        <v>1</v>
      </c>
      <c r="G24" s="4">
        <f>ui!B$4</f>
        <v>2025</v>
      </c>
      <c r="H24" s="4">
        <f>ui!B$5</f>
        <v>2050</v>
      </c>
      <c r="I24" s="4" t="s">
        <v>93</v>
      </c>
      <c r="J24" s="4" t="str">
        <f>VLOOKUP(ui!B$2,dropdown!M:O,3,FALSE)</f>
        <v>LIC</v>
      </c>
      <c r="K24" s="4"/>
      <c r="L24" s="4"/>
      <c r="M24" s="4"/>
      <c r="N24" s="4">
        <v>1</v>
      </c>
      <c r="O24" s="4"/>
      <c r="P24" s="4"/>
      <c r="Q24" s="4"/>
      <c r="R24" s="4">
        <v>1</v>
      </c>
      <c r="S24" s="4"/>
      <c r="T24" s="4"/>
      <c r="U24" s="4"/>
      <c r="V24" s="4"/>
      <c r="W24" s="4"/>
      <c r="X24" s="4"/>
      <c r="Y24" s="4"/>
      <c r="Z24" s="4"/>
      <c r="AA24" t="b">
        <f>VLOOKUP(all_inputs!E24,ui!A$29:B$33,2,FALSE)</f>
        <v>0</v>
      </c>
    </row>
    <row r="25" spans="1:27" hidden="1" x14ac:dyDescent="0.25">
      <c r="A25" s="2" t="s">
        <v>21</v>
      </c>
      <c r="B25" s="2">
        <f>IF(COUNTIF(dropdown!B$2:B$12,all_inputs!A25)=1,1,IF(COUNTIF(dropdown!C$2:C$4,all_inputs!A25)=1,2,IF(COUNTIF(dropdown!D$2:D$3,all_inputs!A25)=1,3,"?")))</f>
        <v>3</v>
      </c>
      <c r="C25" s="2" t="s">
        <v>18</v>
      </c>
      <c r="D25" s="2" t="s">
        <v>469</v>
      </c>
      <c r="E25" s="2" t="s">
        <v>459</v>
      </c>
      <c r="F25" s="2">
        <f>IF(AND(all_inputs!E25=dropdown!Z$8, COUNTIF(dropdown!Z$9:Z$19,all_inputs!A25)=1), dropdown!U$14, 1)</f>
        <v>1</v>
      </c>
      <c r="G25" s="5">
        <f>ui!B$4</f>
        <v>2025</v>
      </c>
      <c r="H25" s="5">
        <f>ui!B$5</f>
        <v>2050</v>
      </c>
      <c r="I25" s="5" t="s">
        <v>93</v>
      </c>
      <c r="J25" s="5" t="str">
        <f>VLOOKUP(ui!B$2,dropdown!M:O,3,FALSE)</f>
        <v>LIC</v>
      </c>
      <c r="K25" s="5"/>
      <c r="L25" s="5"/>
      <c r="M25" s="5"/>
      <c r="N25" s="5">
        <v>1</v>
      </c>
      <c r="O25" s="5"/>
      <c r="P25" s="5"/>
      <c r="Q25" s="5"/>
      <c r="R25" s="5">
        <v>1</v>
      </c>
      <c r="S25" s="5"/>
      <c r="T25" s="5"/>
      <c r="U25" s="5"/>
      <c r="V25" s="5"/>
      <c r="W25" s="5"/>
      <c r="X25" s="5"/>
      <c r="Y25" s="5"/>
      <c r="Z25" s="5"/>
      <c r="AA25" s="2" t="b">
        <f>VLOOKUP(all_inputs!E25,ui!A$29:B$33,2,FALSE)</f>
        <v>0</v>
      </c>
    </row>
    <row r="26" spans="1:27" hidden="1" x14ac:dyDescent="0.25">
      <c r="A26" t="s">
        <v>22</v>
      </c>
      <c r="B26">
        <f>IF(COUNTIF(dropdown!B$2:B$12,all_inputs!A26)=1,1,IF(COUNTIF(dropdown!C$2:C$4,all_inputs!A26)=1,2,IF(COUNTIF(dropdown!D$2:D$3,all_inputs!A26)=1,3,"?")))</f>
        <v>1</v>
      </c>
      <c r="C26" t="s">
        <v>13</v>
      </c>
      <c r="D26" t="s">
        <v>472</v>
      </c>
      <c r="E26" t="s">
        <v>459</v>
      </c>
      <c r="F26" s="4">
        <v>1</v>
      </c>
      <c r="G26" s="4">
        <f>ui!B$4</f>
        <v>2025</v>
      </c>
      <c r="H26" s="4">
        <f>ui!B$5</f>
        <v>2050</v>
      </c>
      <c r="I26" s="4" t="s">
        <v>93</v>
      </c>
      <c r="J26" s="4" t="str">
        <f>VLOOKUP(ui!B$2,dropdown!M:O,3,FALSE)</f>
        <v>LIC</v>
      </c>
      <c r="K26" s="4"/>
      <c r="L26" s="4"/>
      <c r="M26" s="4"/>
      <c r="N26" s="4">
        <v>1</v>
      </c>
      <c r="O26" s="4"/>
      <c r="P26" s="4"/>
      <c r="Q26" s="4"/>
      <c r="R26" s="4">
        <v>1</v>
      </c>
      <c r="S26" s="4"/>
      <c r="T26" s="4"/>
      <c r="U26" s="4"/>
      <c r="V26" s="4"/>
      <c r="W26" s="4"/>
      <c r="X26" s="4"/>
      <c r="Y26" s="4"/>
      <c r="Z26" s="4"/>
      <c r="AA26" t="b">
        <f>VLOOKUP(all_inputs!E26,ui!A$29:B$33,2,FALSE)</f>
        <v>0</v>
      </c>
    </row>
    <row r="27" spans="1:27" hidden="1" x14ac:dyDescent="0.25">
      <c r="A27" t="s">
        <v>22</v>
      </c>
      <c r="B27">
        <f>IF(COUNTIF(dropdown!B$2:B$12,all_inputs!A27)=1,1,IF(COUNTIF(dropdown!C$2:C$4,all_inputs!A27)=1,2,IF(COUNTIF(dropdown!D$2:D$3,all_inputs!A27)=1,3,"?")))</f>
        <v>1</v>
      </c>
      <c r="C27" t="s">
        <v>14</v>
      </c>
      <c r="D27" t="s">
        <v>466</v>
      </c>
      <c r="E27" t="s">
        <v>459</v>
      </c>
      <c r="F27">
        <f>IF(AND(all_inputs!E27=dropdown!Z$8, COUNTIF(dropdown!Z$9:Z$19,all_inputs!A27)=1), dropdown!U$10, 1)</f>
        <v>1</v>
      </c>
      <c r="G27" s="4">
        <f>ui!B$4</f>
        <v>2025</v>
      </c>
      <c r="H27" s="4">
        <f>ui!B$5</f>
        <v>2050</v>
      </c>
      <c r="I27" s="4" t="s">
        <v>93</v>
      </c>
      <c r="J27" s="4" t="str">
        <f>VLOOKUP(ui!B$2,dropdown!M:O,3,FALSE)</f>
        <v>LIC</v>
      </c>
      <c r="K27" s="4"/>
      <c r="L27" s="4"/>
      <c r="M27" s="4"/>
      <c r="N27" s="4">
        <v>1</v>
      </c>
      <c r="O27" s="4"/>
      <c r="P27" s="4"/>
      <c r="Q27" s="4"/>
      <c r="R27" s="4">
        <v>1</v>
      </c>
      <c r="S27" s="4"/>
      <c r="T27" s="4"/>
      <c r="U27" s="4"/>
      <c r="V27" s="4"/>
      <c r="W27" s="4"/>
      <c r="X27" s="4"/>
      <c r="Y27" s="4"/>
      <c r="Z27" s="4"/>
      <c r="AA27" t="b">
        <f>VLOOKUP(all_inputs!E27,ui!A$29:B$33,2,FALSE)</f>
        <v>0</v>
      </c>
    </row>
    <row r="28" spans="1:27" hidden="1" x14ac:dyDescent="0.25">
      <c r="A28" t="s">
        <v>22</v>
      </c>
      <c r="B28">
        <f>IF(COUNTIF(dropdown!B$2:B$12,all_inputs!A28)=1,1,IF(COUNTIF(dropdown!C$2:C$4,all_inputs!A28)=1,2,IF(COUNTIF(dropdown!D$2:D$3,all_inputs!A28)=1,3,"?")))</f>
        <v>1</v>
      </c>
      <c r="C28" t="s">
        <v>15</v>
      </c>
      <c r="D28" t="s">
        <v>466</v>
      </c>
      <c r="E28" t="s">
        <v>459</v>
      </c>
      <c r="F28" s="4">
        <v>1</v>
      </c>
      <c r="G28" s="4">
        <f>ui!B$4</f>
        <v>2025</v>
      </c>
      <c r="H28" s="4">
        <f>ui!B$5</f>
        <v>2050</v>
      </c>
      <c r="I28" s="4" t="s">
        <v>93</v>
      </c>
      <c r="J28" s="4" t="str">
        <f>VLOOKUP(ui!B$2,dropdown!M:O,3,FALSE)</f>
        <v>LIC</v>
      </c>
      <c r="K28" s="4"/>
      <c r="L28" s="4"/>
      <c r="M28" s="4"/>
      <c r="N28" s="4">
        <v>1</v>
      </c>
      <c r="O28" s="4"/>
      <c r="P28" s="4"/>
      <c r="Q28" s="4"/>
      <c r="R28" s="4">
        <v>1</v>
      </c>
      <c r="S28" s="4"/>
      <c r="T28" s="4"/>
      <c r="U28" s="4"/>
      <c r="V28" s="4"/>
      <c r="W28" s="4"/>
      <c r="X28" s="4"/>
      <c r="Y28" s="4"/>
      <c r="Z28" s="4"/>
      <c r="AA28" t="b">
        <f>VLOOKUP(all_inputs!E28,ui!A$29:B$33,2,FALSE)</f>
        <v>0</v>
      </c>
    </row>
    <row r="29" spans="1:27" hidden="1" x14ac:dyDescent="0.25">
      <c r="A29" t="s">
        <v>22</v>
      </c>
      <c r="B29">
        <f>IF(COUNTIF(dropdown!B$2:B$12,all_inputs!A29)=1,1,IF(COUNTIF(dropdown!C$2:C$4,all_inputs!A29)=1,2,IF(COUNTIF(dropdown!D$2:D$3,all_inputs!A29)=1,3,"?")))</f>
        <v>1</v>
      </c>
      <c r="C29" t="s">
        <v>16</v>
      </c>
      <c r="D29" t="s">
        <v>467</v>
      </c>
      <c r="E29" t="s">
        <v>459</v>
      </c>
      <c r="F29" s="4">
        <f>IF(AND(all_inputs!E29=dropdown!Z$8, COUNTIF(dropdown!Z$9:Z$19,all_inputs!A29)=1), dropdown!U$12, 1)</f>
        <v>1</v>
      </c>
      <c r="G29" s="4">
        <f>ui!B$4</f>
        <v>2025</v>
      </c>
      <c r="H29" s="4">
        <f>ui!B$5</f>
        <v>2050</v>
      </c>
      <c r="I29" s="4" t="s">
        <v>93</v>
      </c>
      <c r="J29" s="4" t="str">
        <f>VLOOKUP(ui!B$2,dropdown!M:O,3,FALSE)</f>
        <v>LIC</v>
      </c>
      <c r="K29" s="4"/>
      <c r="L29" s="4"/>
      <c r="M29" s="4"/>
      <c r="N29" s="4">
        <v>1</v>
      </c>
      <c r="O29" s="4"/>
      <c r="P29" s="4"/>
      <c r="Q29" s="4"/>
      <c r="R29" s="4">
        <v>1</v>
      </c>
      <c r="S29" s="4"/>
      <c r="T29" s="4"/>
      <c r="U29" s="4"/>
      <c r="V29" s="4"/>
      <c r="W29" s="4"/>
      <c r="X29" s="4"/>
      <c r="Y29" s="4"/>
      <c r="Z29" s="4"/>
      <c r="AA29" t="b">
        <f>VLOOKUP(all_inputs!E29,ui!A$29:B$33,2,FALSE)</f>
        <v>0</v>
      </c>
    </row>
    <row r="30" spans="1:27" hidden="1" x14ac:dyDescent="0.25">
      <c r="A30" t="s">
        <v>22</v>
      </c>
      <c r="B30">
        <f>IF(COUNTIF(dropdown!B$2:B$12,all_inputs!A30)=1,1,IF(COUNTIF(dropdown!C$2:C$4,all_inputs!A30)=1,2,IF(COUNTIF(dropdown!D$2:D$3,all_inputs!A30)=1,3,"?")))</f>
        <v>1</v>
      </c>
      <c r="C30" t="s">
        <v>17</v>
      </c>
      <c r="D30" t="s">
        <v>468</v>
      </c>
      <c r="E30" t="s">
        <v>459</v>
      </c>
      <c r="F30" s="4">
        <f>IF(AND(all_inputs!E30=dropdown!Z$8, COUNTIF(dropdown!Z$9:Z$19,all_inputs!A30)=1), dropdown!U$13, 1)</f>
        <v>1</v>
      </c>
      <c r="G30" s="4">
        <f>ui!B$4</f>
        <v>2025</v>
      </c>
      <c r="H30" s="4">
        <f>ui!B$5</f>
        <v>2050</v>
      </c>
      <c r="I30" s="4" t="s">
        <v>93</v>
      </c>
      <c r="J30" s="4" t="str">
        <f>VLOOKUP(ui!B$2,dropdown!M:O,3,FALSE)</f>
        <v>LIC</v>
      </c>
      <c r="K30" s="4"/>
      <c r="L30" s="4"/>
      <c r="M30" s="4"/>
      <c r="N30" s="4">
        <v>1</v>
      </c>
      <c r="O30" s="4"/>
      <c r="P30" s="4"/>
      <c r="Q30" s="4"/>
      <c r="R30" s="4">
        <v>1</v>
      </c>
      <c r="S30" s="4"/>
      <c r="T30" s="4"/>
      <c r="U30" s="4"/>
      <c r="V30" s="4"/>
      <c r="W30" s="4"/>
      <c r="X30" s="4"/>
      <c r="Y30" s="4"/>
      <c r="Z30" s="4"/>
      <c r="AA30" t="b">
        <f>VLOOKUP(all_inputs!E30,ui!A$29:B$33,2,FALSE)</f>
        <v>0</v>
      </c>
    </row>
    <row r="31" spans="1:27" hidden="1" x14ac:dyDescent="0.25">
      <c r="A31" s="2" t="s">
        <v>22</v>
      </c>
      <c r="B31" s="2">
        <f>IF(COUNTIF(dropdown!B$2:B$12,all_inputs!A31)=1,1,IF(COUNTIF(dropdown!C$2:C$4,all_inputs!A31)=1,2,IF(COUNTIF(dropdown!D$2:D$3,all_inputs!A31)=1,3,"?")))</f>
        <v>1</v>
      </c>
      <c r="C31" s="2" t="s">
        <v>18</v>
      </c>
      <c r="D31" s="2" t="s">
        <v>469</v>
      </c>
      <c r="E31" s="2" t="s">
        <v>459</v>
      </c>
      <c r="F31" s="2">
        <f>IF(AND(all_inputs!E31=dropdown!Z$8, COUNTIF(dropdown!Z$9:Z$19,all_inputs!A31)=1), dropdown!U$14, 1)</f>
        <v>1</v>
      </c>
      <c r="G31" s="5">
        <f>ui!B$4</f>
        <v>2025</v>
      </c>
      <c r="H31" s="5">
        <f>ui!B$5</f>
        <v>2050</v>
      </c>
      <c r="I31" s="5" t="s">
        <v>93</v>
      </c>
      <c r="J31" s="5" t="str">
        <f>VLOOKUP(ui!B$2,dropdown!M:O,3,FALSE)</f>
        <v>LIC</v>
      </c>
      <c r="K31" s="5"/>
      <c r="L31" s="5"/>
      <c r="M31" s="5"/>
      <c r="N31" s="5">
        <v>1</v>
      </c>
      <c r="O31" s="5"/>
      <c r="P31" s="5"/>
      <c r="Q31" s="5"/>
      <c r="R31" s="5">
        <v>1</v>
      </c>
      <c r="S31" s="5"/>
      <c r="T31" s="5"/>
      <c r="U31" s="5"/>
      <c r="V31" s="5"/>
      <c r="W31" s="5"/>
      <c r="X31" s="5"/>
      <c r="Y31" s="5"/>
      <c r="Z31" s="5"/>
      <c r="AA31" s="2" t="b">
        <f>VLOOKUP(all_inputs!E31,ui!A$29:B$33,2,FALSE)</f>
        <v>0</v>
      </c>
    </row>
    <row r="32" spans="1:27" hidden="1" x14ac:dyDescent="0.25">
      <c r="A32" t="s">
        <v>23</v>
      </c>
      <c r="B32">
        <f>IF(COUNTIF(dropdown!B$2:B$12,all_inputs!A32)=1,1,IF(COUNTIF(dropdown!C$2:C$4,all_inputs!A32)=1,2,IF(COUNTIF(dropdown!D$2:D$3,all_inputs!A32)=1,3,"?")))</f>
        <v>1</v>
      </c>
      <c r="C32" t="s">
        <v>13</v>
      </c>
      <c r="D32" t="s">
        <v>472</v>
      </c>
      <c r="E32" t="s">
        <v>459</v>
      </c>
      <c r="F32" s="4">
        <v>1</v>
      </c>
      <c r="G32" s="4">
        <f>ui!B$4</f>
        <v>2025</v>
      </c>
      <c r="H32" s="4">
        <f>ui!B$5</f>
        <v>2050</v>
      </c>
      <c r="I32" s="4" t="s">
        <v>93</v>
      </c>
      <c r="J32" s="4" t="str">
        <f>VLOOKUP(ui!B$2,dropdown!M:O,3,FALSE)</f>
        <v>LIC</v>
      </c>
      <c r="K32" s="4"/>
      <c r="L32" s="4"/>
      <c r="M32" s="4"/>
      <c r="N32" s="4">
        <v>1</v>
      </c>
      <c r="O32" s="4"/>
      <c r="P32" s="4"/>
      <c r="Q32" s="4"/>
      <c r="R32" s="4">
        <v>1</v>
      </c>
      <c r="S32" s="4"/>
      <c r="T32" s="4"/>
      <c r="U32" s="4"/>
      <c r="V32" s="4"/>
      <c r="W32" s="4"/>
      <c r="X32" s="4"/>
      <c r="Y32" s="4"/>
      <c r="Z32" s="4"/>
      <c r="AA32" t="b">
        <f>VLOOKUP(all_inputs!E32,ui!A$29:B$33,2,FALSE)</f>
        <v>0</v>
      </c>
    </row>
    <row r="33" spans="1:27" hidden="1" x14ac:dyDescent="0.25">
      <c r="A33" t="s">
        <v>23</v>
      </c>
      <c r="B33">
        <f>IF(COUNTIF(dropdown!B$2:B$12,all_inputs!A33)=1,1,IF(COUNTIF(dropdown!C$2:C$4,all_inputs!A33)=1,2,IF(COUNTIF(dropdown!D$2:D$3,all_inputs!A33)=1,3,"?")))</f>
        <v>1</v>
      </c>
      <c r="C33" t="s">
        <v>14</v>
      </c>
      <c r="D33" t="s">
        <v>466</v>
      </c>
      <c r="E33" t="s">
        <v>459</v>
      </c>
      <c r="F33">
        <f>IF(AND(all_inputs!E33=dropdown!Z$8, COUNTIF(dropdown!Z$9:Z$19,all_inputs!A33)=1), dropdown!U$10, 1)</f>
        <v>1</v>
      </c>
      <c r="G33" s="4">
        <f>ui!B$4</f>
        <v>2025</v>
      </c>
      <c r="H33" s="4">
        <f>ui!B$5</f>
        <v>2050</v>
      </c>
      <c r="I33" s="4" t="s">
        <v>93</v>
      </c>
      <c r="J33" s="4" t="str">
        <f>VLOOKUP(ui!B$2,dropdown!M:O,3,FALSE)</f>
        <v>LIC</v>
      </c>
      <c r="K33" s="4"/>
      <c r="L33" s="4"/>
      <c r="M33" s="4"/>
      <c r="N33" s="4">
        <v>1</v>
      </c>
      <c r="O33" s="4"/>
      <c r="P33" s="4"/>
      <c r="Q33" s="4"/>
      <c r="R33" s="4">
        <v>1</v>
      </c>
      <c r="S33" s="4"/>
      <c r="T33" s="4"/>
      <c r="U33" s="4"/>
      <c r="V33" s="4"/>
      <c r="W33" s="4"/>
      <c r="X33" s="4"/>
      <c r="Y33" s="4"/>
      <c r="Z33" s="4"/>
      <c r="AA33" t="b">
        <f>VLOOKUP(all_inputs!E33,ui!A$29:B$33,2,FALSE)</f>
        <v>0</v>
      </c>
    </row>
    <row r="34" spans="1:27" hidden="1" x14ac:dyDescent="0.25">
      <c r="A34" t="s">
        <v>23</v>
      </c>
      <c r="B34">
        <f>IF(COUNTIF(dropdown!B$2:B$12,all_inputs!A34)=1,1,IF(COUNTIF(dropdown!C$2:C$4,all_inputs!A34)=1,2,IF(COUNTIF(dropdown!D$2:D$3,all_inputs!A34)=1,3,"?")))</f>
        <v>1</v>
      </c>
      <c r="C34" t="s">
        <v>15</v>
      </c>
      <c r="D34" t="s">
        <v>466</v>
      </c>
      <c r="E34" t="s">
        <v>459</v>
      </c>
      <c r="F34" s="4">
        <v>1</v>
      </c>
      <c r="G34" s="4">
        <f>ui!B$4</f>
        <v>2025</v>
      </c>
      <c r="H34" s="4">
        <f>ui!B$5</f>
        <v>2050</v>
      </c>
      <c r="I34" s="4" t="s">
        <v>93</v>
      </c>
      <c r="J34" s="4" t="str">
        <f>VLOOKUP(ui!B$2,dropdown!M:O,3,FALSE)</f>
        <v>LIC</v>
      </c>
      <c r="K34" s="4"/>
      <c r="L34" s="4"/>
      <c r="M34" s="4"/>
      <c r="N34" s="4">
        <v>1</v>
      </c>
      <c r="O34" s="4"/>
      <c r="P34" s="4"/>
      <c r="Q34" s="4"/>
      <c r="R34" s="4">
        <v>1</v>
      </c>
      <c r="S34" s="4"/>
      <c r="T34" s="4"/>
      <c r="U34" s="4"/>
      <c r="V34" s="4"/>
      <c r="W34" s="4"/>
      <c r="X34" s="4"/>
      <c r="Y34" s="4"/>
      <c r="Z34" s="4"/>
      <c r="AA34" t="b">
        <f>VLOOKUP(all_inputs!E34,ui!A$29:B$33,2,FALSE)</f>
        <v>0</v>
      </c>
    </row>
    <row r="35" spans="1:27" hidden="1" x14ac:dyDescent="0.25">
      <c r="A35" t="s">
        <v>23</v>
      </c>
      <c r="B35">
        <f>IF(COUNTIF(dropdown!B$2:B$12,all_inputs!A35)=1,1,IF(COUNTIF(dropdown!C$2:C$4,all_inputs!A35)=1,2,IF(COUNTIF(dropdown!D$2:D$3,all_inputs!A35)=1,3,"?")))</f>
        <v>1</v>
      </c>
      <c r="C35" t="s">
        <v>16</v>
      </c>
      <c r="D35" t="s">
        <v>467</v>
      </c>
      <c r="E35" t="s">
        <v>459</v>
      </c>
      <c r="F35">
        <f>IF(AND(all_inputs!E35=dropdown!Z$8, COUNTIF(dropdown!Z$9:Z$19,all_inputs!A35)=1), dropdown!U$12, 1)</f>
        <v>1</v>
      </c>
      <c r="G35" s="4">
        <f>ui!B$4</f>
        <v>2025</v>
      </c>
      <c r="H35" s="4">
        <f>ui!B$5</f>
        <v>2050</v>
      </c>
      <c r="I35" s="4" t="s">
        <v>93</v>
      </c>
      <c r="J35" s="4" t="str">
        <f>VLOOKUP(ui!B$2,dropdown!M:O,3,FALSE)</f>
        <v>LIC</v>
      </c>
      <c r="K35" s="4"/>
      <c r="L35" s="4"/>
      <c r="M35" s="4"/>
      <c r="N35" s="4">
        <v>1</v>
      </c>
      <c r="O35" s="4"/>
      <c r="P35" s="4"/>
      <c r="Q35" s="4"/>
      <c r="R35" s="4">
        <v>1</v>
      </c>
      <c r="S35" s="4"/>
      <c r="T35" s="4"/>
      <c r="U35" s="4"/>
      <c r="V35" s="4"/>
      <c r="W35" s="4"/>
      <c r="X35" s="4"/>
      <c r="Y35" s="4"/>
      <c r="Z35" s="4"/>
      <c r="AA35" t="b">
        <f>VLOOKUP(all_inputs!E35,ui!A$29:B$33,2,FALSE)</f>
        <v>0</v>
      </c>
    </row>
    <row r="36" spans="1:27" hidden="1" x14ac:dyDescent="0.25">
      <c r="A36" t="s">
        <v>23</v>
      </c>
      <c r="B36">
        <f>IF(COUNTIF(dropdown!B$2:B$12,all_inputs!A36)=1,1,IF(COUNTIF(dropdown!C$2:C$4,all_inputs!A36)=1,2,IF(COUNTIF(dropdown!D$2:D$3,all_inputs!A36)=1,3,"?")))</f>
        <v>1</v>
      </c>
      <c r="C36" t="s">
        <v>17</v>
      </c>
      <c r="D36" t="s">
        <v>468</v>
      </c>
      <c r="E36" t="s">
        <v>459</v>
      </c>
      <c r="F36">
        <f>IF(AND(all_inputs!E36=dropdown!Z$8, COUNTIF(dropdown!Z$9:Z$19,all_inputs!A36)=1), dropdown!U$13, 1)</f>
        <v>1</v>
      </c>
      <c r="G36" s="4">
        <f>ui!B$4</f>
        <v>2025</v>
      </c>
      <c r="H36" s="4">
        <f>ui!B$5</f>
        <v>2050</v>
      </c>
      <c r="I36" s="4" t="s">
        <v>93</v>
      </c>
      <c r="J36" s="4" t="str">
        <f>VLOOKUP(ui!B$2,dropdown!M:O,3,FALSE)</f>
        <v>LIC</v>
      </c>
      <c r="K36" s="4"/>
      <c r="L36" s="4"/>
      <c r="M36" s="4"/>
      <c r="N36" s="4">
        <v>1</v>
      </c>
      <c r="O36" s="4"/>
      <c r="P36" s="4"/>
      <c r="Q36" s="4"/>
      <c r="R36" s="4">
        <v>1</v>
      </c>
      <c r="S36" s="4"/>
      <c r="T36" s="4"/>
      <c r="U36" s="4"/>
      <c r="V36" s="4"/>
      <c r="W36" s="4"/>
      <c r="X36" s="4"/>
      <c r="Y36" s="4"/>
      <c r="Z36" s="4"/>
      <c r="AA36" t="b">
        <f>VLOOKUP(all_inputs!E36,ui!A$29:B$33,2,FALSE)</f>
        <v>0</v>
      </c>
    </row>
    <row r="37" spans="1:27" hidden="1" x14ac:dyDescent="0.25">
      <c r="A37" s="2" t="s">
        <v>23</v>
      </c>
      <c r="B37" s="2">
        <f>IF(COUNTIF(dropdown!B$2:B$12,all_inputs!A37)=1,1,IF(COUNTIF(dropdown!C$2:C$4,all_inputs!A37)=1,2,IF(COUNTIF(dropdown!D$2:D$3,all_inputs!A37)=1,3,"?")))</f>
        <v>1</v>
      </c>
      <c r="C37" s="2" t="s">
        <v>18</v>
      </c>
      <c r="D37" s="2" t="s">
        <v>469</v>
      </c>
      <c r="E37" s="2" t="s">
        <v>459</v>
      </c>
      <c r="F37" s="2">
        <f>IF(AND(all_inputs!E37=dropdown!Z$8, COUNTIF(dropdown!Z$9:Z$19,all_inputs!A37)=1), dropdown!U$14, 1)</f>
        <v>1</v>
      </c>
      <c r="G37" s="5">
        <f>ui!B$4</f>
        <v>2025</v>
      </c>
      <c r="H37" s="5">
        <f>ui!B$5</f>
        <v>2050</v>
      </c>
      <c r="I37" s="5" t="s">
        <v>93</v>
      </c>
      <c r="J37" s="5" t="str">
        <f>VLOOKUP(ui!B$2,dropdown!M:O,3,FALSE)</f>
        <v>LIC</v>
      </c>
      <c r="K37" s="5"/>
      <c r="L37" s="5"/>
      <c r="M37" s="5"/>
      <c r="N37" s="5">
        <v>1</v>
      </c>
      <c r="O37" s="5"/>
      <c r="P37" s="5"/>
      <c r="Q37" s="5"/>
      <c r="R37" s="5">
        <v>1</v>
      </c>
      <c r="S37" s="5"/>
      <c r="T37" s="5"/>
      <c r="U37" s="5"/>
      <c r="V37" s="5"/>
      <c r="W37" s="5"/>
      <c r="X37" s="5"/>
      <c r="Y37" s="5"/>
      <c r="Z37" s="5"/>
      <c r="AA37" s="2" t="b">
        <f>VLOOKUP(all_inputs!E37,ui!A$29:B$33,2,FALSE)</f>
        <v>0</v>
      </c>
    </row>
    <row r="38" spans="1:27" hidden="1" x14ac:dyDescent="0.25">
      <c r="A38" t="s">
        <v>24</v>
      </c>
      <c r="B38">
        <f>IF(COUNTIF(dropdown!B$2:B$12,all_inputs!A38)=1,1,IF(COUNTIF(dropdown!C$2:C$4,all_inputs!A38)=1,2,IF(COUNTIF(dropdown!D$2:D$3,all_inputs!A38)=1,3,"?")))</f>
        <v>1</v>
      </c>
      <c r="C38" t="s">
        <v>13</v>
      </c>
      <c r="D38" t="s">
        <v>472</v>
      </c>
      <c r="E38" t="s">
        <v>459</v>
      </c>
      <c r="F38" s="4">
        <v>1</v>
      </c>
      <c r="G38" s="4">
        <f>ui!B$4</f>
        <v>2025</v>
      </c>
      <c r="H38" s="4">
        <f>ui!B$5</f>
        <v>2050</v>
      </c>
      <c r="I38" s="4" t="s">
        <v>93</v>
      </c>
      <c r="J38" s="4" t="str">
        <f>VLOOKUP(ui!B$2,dropdown!M:O,3,FALSE)</f>
        <v>LIC</v>
      </c>
      <c r="K38" s="4"/>
      <c r="L38" s="4"/>
      <c r="M38" s="4"/>
      <c r="N38" s="4">
        <v>1</v>
      </c>
      <c r="O38" s="4"/>
      <c r="P38" s="4"/>
      <c r="Q38" s="4"/>
      <c r="R38" s="4">
        <v>1</v>
      </c>
      <c r="S38" s="4"/>
      <c r="T38" s="4"/>
      <c r="U38" s="4"/>
      <c r="V38" s="4"/>
      <c r="W38" s="4"/>
      <c r="X38" s="4"/>
      <c r="Y38" s="4"/>
      <c r="Z38" s="4"/>
      <c r="AA38" t="b">
        <f>VLOOKUP(all_inputs!E38,ui!A$29:B$33,2,FALSE)</f>
        <v>0</v>
      </c>
    </row>
    <row r="39" spans="1:27" hidden="1" x14ac:dyDescent="0.25">
      <c r="A39" t="s">
        <v>24</v>
      </c>
      <c r="B39">
        <f>IF(COUNTIF(dropdown!B$2:B$12,all_inputs!A39)=1,1,IF(COUNTIF(dropdown!C$2:C$4,all_inputs!A39)=1,2,IF(COUNTIF(dropdown!D$2:D$3,all_inputs!A39)=1,3,"?")))</f>
        <v>1</v>
      </c>
      <c r="C39" t="s">
        <v>14</v>
      </c>
      <c r="D39" t="s">
        <v>466</v>
      </c>
      <c r="E39" t="s">
        <v>459</v>
      </c>
      <c r="F39">
        <f>IF(AND(all_inputs!E39=dropdown!Z$8, COUNTIF(dropdown!Z$9:Z$19,all_inputs!A39)=1), dropdown!U$10, 1)</f>
        <v>1</v>
      </c>
      <c r="G39" s="4">
        <f>ui!B$4</f>
        <v>2025</v>
      </c>
      <c r="H39" s="4">
        <f>ui!B$5</f>
        <v>2050</v>
      </c>
      <c r="I39" s="4" t="s">
        <v>93</v>
      </c>
      <c r="J39" s="4" t="str">
        <f>VLOOKUP(ui!B$2,dropdown!M:O,3,FALSE)</f>
        <v>LIC</v>
      </c>
      <c r="K39" s="4"/>
      <c r="L39" s="4"/>
      <c r="M39" s="4"/>
      <c r="N39" s="4">
        <v>1</v>
      </c>
      <c r="O39" s="4"/>
      <c r="P39" s="4"/>
      <c r="Q39" s="4"/>
      <c r="R39" s="4">
        <v>1</v>
      </c>
      <c r="S39" s="4"/>
      <c r="T39" s="4"/>
      <c r="U39" s="4"/>
      <c r="V39" s="4"/>
      <c r="W39" s="4"/>
      <c r="X39" s="4"/>
      <c r="Y39" s="4"/>
      <c r="Z39" s="4"/>
      <c r="AA39" t="b">
        <f>VLOOKUP(all_inputs!E39,ui!A$29:B$33,2,FALSE)</f>
        <v>0</v>
      </c>
    </row>
    <row r="40" spans="1:27" hidden="1" x14ac:dyDescent="0.25">
      <c r="A40" t="s">
        <v>24</v>
      </c>
      <c r="B40">
        <f>IF(COUNTIF(dropdown!B$2:B$12,all_inputs!A40)=1,1,IF(COUNTIF(dropdown!C$2:C$4,all_inputs!A40)=1,2,IF(COUNTIF(dropdown!D$2:D$3,all_inputs!A40)=1,3,"?")))</f>
        <v>1</v>
      </c>
      <c r="C40" t="s">
        <v>15</v>
      </c>
      <c r="D40" t="s">
        <v>466</v>
      </c>
      <c r="E40" t="s">
        <v>459</v>
      </c>
      <c r="F40" s="4">
        <v>1</v>
      </c>
      <c r="G40" s="4">
        <f>ui!B$4</f>
        <v>2025</v>
      </c>
      <c r="H40" s="4">
        <f>ui!B$5</f>
        <v>2050</v>
      </c>
      <c r="I40" s="4" t="s">
        <v>93</v>
      </c>
      <c r="J40" s="4" t="str">
        <f>VLOOKUP(ui!B$2,dropdown!M:O,3,FALSE)</f>
        <v>LIC</v>
      </c>
      <c r="K40" s="4"/>
      <c r="L40" s="4"/>
      <c r="M40" s="4"/>
      <c r="N40" s="4">
        <v>1</v>
      </c>
      <c r="O40" s="4"/>
      <c r="P40" s="4"/>
      <c r="Q40" s="4"/>
      <c r="R40" s="4">
        <v>1</v>
      </c>
      <c r="S40" s="4"/>
      <c r="T40" s="4"/>
      <c r="U40" s="4"/>
      <c r="V40" s="4"/>
      <c r="W40" s="4"/>
      <c r="X40" s="4"/>
      <c r="Y40" s="4"/>
      <c r="Z40" s="4"/>
      <c r="AA40" t="b">
        <f>VLOOKUP(all_inputs!E40,ui!A$29:B$33,2,FALSE)</f>
        <v>0</v>
      </c>
    </row>
    <row r="41" spans="1:27" hidden="1" x14ac:dyDescent="0.25">
      <c r="A41" t="s">
        <v>24</v>
      </c>
      <c r="B41">
        <f>IF(COUNTIF(dropdown!B$2:B$12,all_inputs!A41)=1,1,IF(COUNTIF(dropdown!C$2:C$4,all_inputs!A41)=1,2,IF(COUNTIF(dropdown!D$2:D$3,all_inputs!A41)=1,3,"?")))</f>
        <v>1</v>
      </c>
      <c r="C41" t="s">
        <v>16</v>
      </c>
      <c r="D41" t="s">
        <v>467</v>
      </c>
      <c r="E41" t="s">
        <v>459</v>
      </c>
      <c r="F41">
        <f>IF(AND(all_inputs!E41=dropdown!Z$8, COUNTIF(dropdown!Z$9:Z$19,all_inputs!A41)=1), dropdown!U$12, 1)</f>
        <v>1</v>
      </c>
      <c r="G41" s="4">
        <f>ui!B$4</f>
        <v>2025</v>
      </c>
      <c r="H41" s="4">
        <f>ui!B$5</f>
        <v>2050</v>
      </c>
      <c r="I41" s="4" t="s">
        <v>93</v>
      </c>
      <c r="J41" s="4" t="str">
        <f>VLOOKUP(ui!B$2,dropdown!M:O,3,FALSE)</f>
        <v>LIC</v>
      </c>
      <c r="K41" s="4"/>
      <c r="L41" s="4"/>
      <c r="M41" s="4"/>
      <c r="N41" s="4">
        <v>1</v>
      </c>
      <c r="O41" s="4"/>
      <c r="P41" s="4"/>
      <c r="Q41" s="4"/>
      <c r="R41" s="4">
        <v>1</v>
      </c>
      <c r="S41" s="4"/>
      <c r="T41" s="4"/>
      <c r="U41" s="4"/>
      <c r="V41" s="4"/>
      <c r="W41" s="4"/>
      <c r="X41" s="4"/>
      <c r="Y41" s="4"/>
      <c r="Z41" s="4"/>
      <c r="AA41" t="b">
        <f>VLOOKUP(all_inputs!E41,ui!A$29:B$33,2,FALSE)</f>
        <v>0</v>
      </c>
    </row>
    <row r="42" spans="1:27" hidden="1" x14ac:dyDescent="0.25">
      <c r="A42" t="s">
        <v>24</v>
      </c>
      <c r="B42">
        <f>IF(COUNTIF(dropdown!B$2:B$12,all_inputs!A42)=1,1,IF(COUNTIF(dropdown!C$2:C$4,all_inputs!A42)=1,2,IF(COUNTIF(dropdown!D$2:D$3,all_inputs!A42)=1,3,"?")))</f>
        <v>1</v>
      </c>
      <c r="C42" t="s">
        <v>17</v>
      </c>
      <c r="D42" t="s">
        <v>468</v>
      </c>
      <c r="E42" t="s">
        <v>459</v>
      </c>
      <c r="F42">
        <f>IF(AND(all_inputs!E42=dropdown!Z$8, COUNTIF(dropdown!Z$9:Z$19,all_inputs!A42)=1), dropdown!U$13, 1)</f>
        <v>1</v>
      </c>
      <c r="G42" s="4">
        <f>ui!B$4</f>
        <v>2025</v>
      </c>
      <c r="H42" s="4">
        <f>ui!B$5</f>
        <v>2050</v>
      </c>
      <c r="I42" s="4" t="s">
        <v>93</v>
      </c>
      <c r="J42" s="4" t="str">
        <f>VLOOKUP(ui!B$2,dropdown!M:O,3,FALSE)</f>
        <v>LIC</v>
      </c>
      <c r="K42" s="4"/>
      <c r="L42" s="4"/>
      <c r="M42" s="4"/>
      <c r="N42" s="4">
        <v>1</v>
      </c>
      <c r="O42" s="4"/>
      <c r="P42" s="4"/>
      <c r="Q42" s="4"/>
      <c r="R42" s="4">
        <v>1</v>
      </c>
      <c r="S42" s="4"/>
      <c r="T42" s="4"/>
      <c r="U42" s="4"/>
      <c r="V42" s="4"/>
      <c r="W42" s="4"/>
      <c r="X42" s="4"/>
      <c r="Y42" s="4"/>
      <c r="Z42" s="4"/>
      <c r="AA42" t="b">
        <f>VLOOKUP(all_inputs!E42,ui!A$29:B$33,2,FALSE)</f>
        <v>0</v>
      </c>
    </row>
    <row r="43" spans="1:27" hidden="1" x14ac:dyDescent="0.25">
      <c r="A43" s="2" t="s">
        <v>24</v>
      </c>
      <c r="B43" s="2">
        <f>IF(COUNTIF(dropdown!B$2:B$12,all_inputs!A43)=1,1,IF(COUNTIF(dropdown!C$2:C$4,all_inputs!A43)=1,2,IF(COUNTIF(dropdown!D$2:D$3,all_inputs!A43)=1,3,"?")))</f>
        <v>1</v>
      </c>
      <c r="C43" s="2" t="s">
        <v>18</v>
      </c>
      <c r="D43" s="2" t="s">
        <v>469</v>
      </c>
      <c r="E43" s="2" t="s">
        <v>459</v>
      </c>
      <c r="F43" s="2">
        <f>IF(AND(all_inputs!E43=dropdown!Z$8, COUNTIF(dropdown!Z$9:Z$19,all_inputs!A43)=1), dropdown!U$14, 1)</f>
        <v>1</v>
      </c>
      <c r="G43" s="5">
        <f>ui!B$4</f>
        <v>2025</v>
      </c>
      <c r="H43" s="5">
        <f>ui!B$5</f>
        <v>2050</v>
      </c>
      <c r="I43" s="5" t="s">
        <v>93</v>
      </c>
      <c r="J43" s="5" t="str">
        <f>VLOOKUP(ui!B$2,dropdown!M:O,3,FALSE)</f>
        <v>LIC</v>
      </c>
      <c r="K43" s="5"/>
      <c r="L43" s="5"/>
      <c r="M43" s="5"/>
      <c r="N43" s="5">
        <v>1</v>
      </c>
      <c r="O43" s="5"/>
      <c r="P43" s="5"/>
      <c r="Q43" s="5"/>
      <c r="R43" s="5">
        <v>1</v>
      </c>
      <c r="S43" s="5"/>
      <c r="T43" s="5"/>
      <c r="U43" s="5"/>
      <c r="V43" s="5"/>
      <c r="W43" s="5"/>
      <c r="X43" s="5"/>
      <c r="Y43" s="5"/>
      <c r="Z43" s="5"/>
      <c r="AA43" s="2" t="b">
        <f>VLOOKUP(all_inputs!E43,ui!A$29:B$33,2,FALSE)</f>
        <v>0</v>
      </c>
    </row>
    <row r="44" spans="1:27" hidden="1" x14ac:dyDescent="0.25">
      <c r="A44" t="s">
        <v>25</v>
      </c>
      <c r="B44">
        <f>IF(COUNTIF(dropdown!B$2:B$12,all_inputs!A44)=1,1,IF(COUNTIF(dropdown!C$2:C$4,all_inputs!A44)=1,2,IF(COUNTIF(dropdown!D$2:D$3,all_inputs!A44)=1,3,"?")))</f>
        <v>1</v>
      </c>
      <c r="C44" t="s">
        <v>13</v>
      </c>
      <c r="D44" t="s">
        <v>472</v>
      </c>
      <c r="E44" t="s">
        <v>459</v>
      </c>
      <c r="F44" s="4">
        <v>1</v>
      </c>
      <c r="G44" s="4">
        <f>ui!B$4</f>
        <v>2025</v>
      </c>
      <c r="H44" s="4">
        <f>ui!B$5</f>
        <v>2050</v>
      </c>
      <c r="I44" s="4" t="s">
        <v>93</v>
      </c>
      <c r="J44" s="4" t="str">
        <f>VLOOKUP(ui!B$2,dropdown!M:O,3,FALSE)</f>
        <v>LIC</v>
      </c>
      <c r="K44" s="4"/>
      <c r="L44" s="4"/>
      <c r="M44" s="4"/>
      <c r="N44" s="4">
        <v>1</v>
      </c>
      <c r="O44" s="4"/>
      <c r="P44" s="4"/>
      <c r="Q44" s="4"/>
      <c r="R44" s="4">
        <v>1</v>
      </c>
      <c r="S44" s="4"/>
      <c r="T44" s="4"/>
      <c r="U44" s="4"/>
      <c r="V44" s="4"/>
      <c r="W44" s="4"/>
      <c r="X44" s="4"/>
      <c r="Y44" s="4"/>
      <c r="Z44" s="4"/>
      <c r="AA44" t="b">
        <f>VLOOKUP(all_inputs!E44,ui!A$29:B$33,2,FALSE)</f>
        <v>0</v>
      </c>
    </row>
    <row r="45" spans="1:27" hidden="1" x14ac:dyDescent="0.25">
      <c r="A45" t="s">
        <v>25</v>
      </c>
      <c r="B45">
        <f>IF(COUNTIF(dropdown!B$2:B$12,all_inputs!A45)=1,1,IF(COUNTIF(dropdown!C$2:C$4,all_inputs!A45)=1,2,IF(COUNTIF(dropdown!D$2:D$3,all_inputs!A45)=1,3,"?")))</f>
        <v>1</v>
      </c>
      <c r="C45" t="s">
        <v>14</v>
      </c>
      <c r="D45" t="s">
        <v>466</v>
      </c>
      <c r="E45" t="s">
        <v>459</v>
      </c>
      <c r="F45">
        <f>IF(AND(all_inputs!E45=dropdown!Z$8, COUNTIF(dropdown!Z$9:Z$19,all_inputs!A45)=1), dropdown!U$10, 1)</f>
        <v>1</v>
      </c>
      <c r="G45" s="4">
        <f>ui!B$4</f>
        <v>2025</v>
      </c>
      <c r="H45" s="4">
        <f>ui!B$5</f>
        <v>2050</v>
      </c>
      <c r="I45" s="4" t="s">
        <v>93</v>
      </c>
      <c r="J45" s="4" t="str">
        <f>VLOOKUP(ui!B$2,dropdown!M:O,3,FALSE)</f>
        <v>LIC</v>
      </c>
      <c r="K45" s="4"/>
      <c r="L45" s="4"/>
      <c r="M45" s="4"/>
      <c r="N45" s="4">
        <v>1</v>
      </c>
      <c r="O45" s="4"/>
      <c r="P45" s="4"/>
      <c r="Q45" s="4"/>
      <c r="R45" s="4">
        <v>1</v>
      </c>
      <c r="S45" s="4"/>
      <c r="T45" s="4"/>
      <c r="U45" s="4"/>
      <c r="V45" s="4"/>
      <c r="W45" s="4"/>
      <c r="X45" s="4"/>
      <c r="Y45" s="4"/>
      <c r="Z45" s="4"/>
      <c r="AA45" t="b">
        <f>VLOOKUP(all_inputs!E45,ui!A$29:B$33,2,FALSE)</f>
        <v>0</v>
      </c>
    </row>
    <row r="46" spans="1:27" hidden="1" x14ac:dyDescent="0.25">
      <c r="A46" t="s">
        <v>25</v>
      </c>
      <c r="B46">
        <f>IF(COUNTIF(dropdown!B$2:B$12,all_inputs!A46)=1,1,IF(COUNTIF(dropdown!C$2:C$4,all_inputs!A46)=1,2,IF(COUNTIF(dropdown!D$2:D$3,all_inputs!A46)=1,3,"?")))</f>
        <v>1</v>
      </c>
      <c r="C46" t="s">
        <v>15</v>
      </c>
      <c r="D46" t="s">
        <v>466</v>
      </c>
      <c r="E46" t="s">
        <v>459</v>
      </c>
      <c r="F46" s="4">
        <v>1</v>
      </c>
      <c r="G46" s="4">
        <f>ui!B$4</f>
        <v>2025</v>
      </c>
      <c r="H46" s="4">
        <f>ui!B$5</f>
        <v>2050</v>
      </c>
      <c r="I46" s="4" t="s">
        <v>93</v>
      </c>
      <c r="J46" s="4" t="str">
        <f>VLOOKUP(ui!B$2,dropdown!M:O,3,FALSE)</f>
        <v>LIC</v>
      </c>
      <c r="K46" s="4"/>
      <c r="L46" s="4"/>
      <c r="M46" s="4"/>
      <c r="N46" s="4">
        <v>1</v>
      </c>
      <c r="O46" s="4"/>
      <c r="P46" s="4"/>
      <c r="Q46" s="4"/>
      <c r="R46" s="4">
        <v>1</v>
      </c>
      <c r="S46" s="4"/>
      <c r="T46" s="4"/>
      <c r="U46" s="4"/>
      <c r="V46" s="4"/>
      <c r="W46" s="4"/>
      <c r="X46" s="4"/>
      <c r="Y46" s="4"/>
      <c r="Z46" s="4"/>
      <c r="AA46" t="b">
        <f>VLOOKUP(all_inputs!E46,ui!A$29:B$33,2,FALSE)</f>
        <v>0</v>
      </c>
    </row>
    <row r="47" spans="1:27" hidden="1" x14ac:dyDescent="0.25">
      <c r="A47" t="s">
        <v>25</v>
      </c>
      <c r="B47">
        <f>IF(COUNTIF(dropdown!B$2:B$12,all_inputs!A47)=1,1,IF(COUNTIF(dropdown!C$2:C$4,all_inputs!A47)=1,2,IF(COUNTIF(dropdown!D$2:D$3,all_inputs!A47)=1,3,"?")))</f>
        <v>1</v>
      </c>
      <c r="C47" t="s">
        <v>16</v>
      </c>
      <c r="D47" t="s">
        <v>467</v>
      </c>
      <c r="E47" t="s">
        <v>459</v>
      </c>
      <c r="F47">
        <f>IF(AND(all_inputs!E47=dropdown!Z$8, COUNTIF(dropdown!Z$9:Z$19,all_inputs!A47)=1), dropdown!U$12, 1)</f>
        <v>1</v>
      </c>
      <c r="G47" s="4">
        <f>ui!B$4</f>
        <v>2025</v>
      </c>
      <c r="H47" s="4">
        <f>ui!B$5</f>
        <v>2050</v>
      </c>
      <c r="I47" s="4" t="s">
        <v>93</v>
      </c>
      <c r="J47" s="4" t="str">
        <f>VLOOKUP(ui!B$2,dropdown!M:O,3,FALSE)</f>
        <v>LIC</v>
      </c>
      <c r="K47" s="4"/>
      <c r="L47" s="4"/>
      <c r="M47" s="4"/>
      <c r="N47" s="4">
        <v>1</v>
      </c>
      <c r="O47" s="4"/>
      <c r="P47" s="4"/>
      <c r="Q47" s="4"/>
      <c r="R47" s="4">
        <v>1</v>
      </c>
      <c r="S47" s="4"/>
      <c r="T47" s="4"/>
      <c r="U47" s="4"/>
      <c r="V47" s="4"/>
      <c r="W47" s="4"/>
      <c r="X47" s="4"/>
      <c r="Y47" s="4"/>
      <c r="Z47" s="4"/>
      <c r="AA47" t="b">
        <f>VLOOKUP(all_inputs!E47,ui!A$29:B$33,2,FALSE)</f>
        <v>0</v>
      </c>
    </row>
    <row r="48" spans="1:27" hidden="1" x14ac:dyDescent="0.25">
      <c r="A48" t="s">
        <v>25</v>
      </c>
      <c r="B48">
        <f>IF(COUNTIF(dropdown!B$2:B$12,all_inputs!A48)=1,1,IF(COUNTIF(dropdown!C$2:C$4,all_inputs!A48)=1,2,IF(COUNTIF(dropdown!D$2:D$3,all_inputs!A48)=1,3,"?")))</f>
        <v>1</v>
      </c>
      <c r="C48" t="s">
        <v>17</v>
      </c>
      <c r="D48" t="s">
        <v>468</v>
      </c>
      <c r="E48" t="s">
        <v>459</v>
      </c>
      <c r="F48">
        <f>IF(AND(all_inputs!E48=dropdown!Z$8, COUNTIF(dropdown!Z$9:Z$19,all_inputs!A48)=1), dropdown!U$13, 1)</f>
        <v>1</v>
      </c>
      <c r="G48" s="4">
        <f>ui!B$4</f>
        <v>2025</v>
      </c>
      <c r="H48" s="4">
        <f>ui!B$5</f>
        <v>2050</v>
      </c>
      <c r="I48" s="4" t="s">
        <v>93</v>
      </c>
      <c r="J48" s="4" t="str">
        <f>VLOOKUP(ui!B$2,dropdown!M:O,3,FALSE)</f>
        <v>LIC</v>
      </c>
      <c r="K48" s="4"/>
      <c r="L48" s="4"/>
      <c r="M48" s="4"/>
      <c r="N48" s="4">
        <v>1</v>
      </c>
      <c r="O48" s="4"/>
      <c r="P48" s="4"/>
      <c r="Q48" s="4"/>
      <c r="R48" s="4">
        <v>1</v>
      </c>
      <c r="S48" s="4"/>
      <c r="T48" s="4"/>
      <c r="U48" s="4"/>
      <c r="V48" s="4"/>
      <c r="W48" s="4"/>
      <c r="X48" s="4"/>
      <c r="Y48" s="4"/>
      <c r="Z48" s="4"/>
      <c r="AA48" t="b">
        <f>VLOOKUP(all_inputs!E48,ui!A$29:B$33,2,FALSE)</f>
        <v>0</v>
      </c>
    </row>
    <row r="49" spans="1:27" hidden="1" x14ac:dyDescent="0.25">
      <c r="A49" s="2" t="s">
        <v>25</v>
      </c>
      <c r="B49" s="2">
        <f>IF(COUNTIF(dropdown!B$2:B$12,all_inputs!A49)=1,1,IF(COUNTIF(dropdown!C$2:C$4,all_inputs!A49)=1,2,IF(COUNTIF(dropdown!D$2:D$3,all_inputs!A49)=1,3,"?")))</f>
        <v>1</v>
      </c>
      <c r="C49" s="2" t="s">
        <v>18</v>
      </c>
      <c r="D49" s="2" t="s">
        <v>469</v>
      </c>
      <c r="E49" s="2" t="s">
        <v>459</v>
      </c>
      <c r="F49" s="2">
        <f>IF(AND(all_inputs!E49=dropdown!Z$8, COUNTIF(dropdown!Z$9:Z$19,all_inputs!A49)=1), dropdown!U$14, 1)</f>
        <v>1</v>
      </c>
      <c r="G49" s="5">
        <f>ui!B$4</f>
        <v>2025</v>
      </c>
      <c r="H49" s="5">
        <f>ui!B$5</f>
        <v>2050</v>
      </c>
      <c r="I49" s="5" t="s">
        <v>93</v>
      </c>
      <c r="J49" s="5" t="str">
        <f>VLOOKUP(ui!B$2,dropdown!M:O,3,FALSE)</f>
        <v>LIC</v>
      </c>
      <c r="K49" s="5"/>
      <c r="L49" s="5"/>
      <c r="M49" s="5"/>
      <c r="N49" s="5">
        <v>1</v>
      </c>
      <c r="O49" s="5"/>
      <c r="P49" s="5"/>
      <c r="Q49" s="5"/>
      <c r="R49" s="5">
        <v>1</v>
      </c>
      <c r="S49" s="5"/>
      <c r="T49" s="5"/>
      <c r="U49" s="5"/>
      <c r="V49" s="5"/>
      <c r="W49" s="5"/>
      <c r="X49" s="5"/>
      <c r="Y49" s="5"/>
      <c r="Z49" s="5"/>
      <c r="AA49" s="2" t="b">
        <f>VLOOKUP(all_inputs!E49,ui!A$29:B$33,2,FALSE)</f>
        <v>0</v>
      </c>
    </row>
    <row r="50" spans="1:27" hidden="1" x14ac:dyDescent="0.25">
      <c r="A50" t="s">
        <v>26</v>
      </c>
      <c r="B50">
        <f>IF(COUNTIF(dropdown!B$2:B$12,all_inputs!A50)=1,1,IF(COUNTIF(dropdown!C$2:C$4,all_inputs!A50)=1,2,IF(COUNTIF(dropdown!D$2:D$3,all_inputs!A50)=1,3,"?")))</f>
        <v>1</v>
      </c>
      <c r="C50" t="s">
        <v>13</v>
      </c>
      <c r="D50" t="s">
        <v>472</v>
      </c>
      <c r="E50" t="s">
        <v>459</v>
      </c>
      <c r="F50" s="4">
        <v>1</v>
      </c>
      <c r="G50" s="4">
        <f>ui!B$4</f>
        <v>2025</v>
      </c>
      <c r="H50" s="4">
        <f>ui!B$5</f>
        <v>2050</v>
      </c>
      <c r="I50" s="4" t="s">
        <v>93</v>
      </c>
      <c r="J50" s="4" t="str">
        <f>VLOOKUP(ui!B$2,dropdown!M:O,3,FALSE)</f>
        <v>LIC</v>
      </c>
      <c r="K50" s="4"/>
      <c r="L50" s="4"/>
      <c r="M50" s="4"/>
      <c r="N50" s="4">
        <v>1</v>
      </c>
      <c r="O50" s="4"/>
      <c r="P50" s="4"/>
      <c r="Q50" s="4"/>
      <c r="R50" s="4">
        <v>1</v>
      </c>
      <c r="S50" s="4"/>
      <c r="T50" s="4"/>
      <c r="U50" s="4"/>
      <c r="V50" s="4"/>
      <c r="W50" s="4"/>
      <c r="X50" s="4"/>
      <c r="Y50" s="4"/>
      <c r="Z50" s="4"/>
      <c r="AA50" t="b">
        <f>VLOOKUP(all_inputs!E50,ui!A$29:B$33,2,FALSE)</f>
        <v>0</v>
      </c>
    </row>
    <row r="51" spans="1:27" hidden="1" x14ac:dyDescent="0.25">
      <c r="A51" t="s">
        <v>26</v>
      </c>
      <c r="B51">
        <f>IF(COUNTIF(dropdown!B$2:B$12,all_inputs!A51)=1,1,IF(COUNTIF(dropdown!C$2:C$4,all_inputs!A51)=1,2,IF(COUNTIF(dropdown!D$2:D$3,all_inputs!A51)=1,3,"?")))</f>
        <v>1</v>
      </c>
      <c r="C51" t="s">
        <v>14</v>
      </c>
      <c r="D51" t="s">
        <v>466</v>
      </c>
      <c r="E51" t="s">
        <v>459</v>
      </c>
      <c r="F51">
        <f>IF(AND(all_inputs!E51=dropdown!Z$8, COUNTIF(dropdown!Z$9:Z$19,all_inputs!A51)=1), dropdown!U$10, 1)</f>
        <v>1</v>
      </c>
      <c r="G51" s="4">
        <f>ui!B$4</f>
        <v>2025</v>
      </c>
      <c r="H51" s="4">
        <f>ui!B$5</f>
        <v>2050</v>
      </c>
      <c r="I51" s="4" t="s">
        <v>93</v>
      </c>
      <c r="J51" s="4" t="str">
        <f>VLOOKUP(ui!B$2,dropdown!M:O,3,FALSE)</f>
        <v>LIC</v>
      </c>
      <c r="K51" s="4"/>
      <c r="L51" s="4"/>
      <c r="M51" s="4"/>
      <c r="N51" s="4">
        <v>1</v>
      </c>
      <c r="O51" s="4"/>
      <c r="P51" s="4"/>
      <c r="Q51" s="4"/>
      <c r="R51" s="4">
        <v>1</v>
      </c>
      <c r="S51" s="4"/>
      <c r="T51" s="4"/>
      <c r="U51" s="4"/>
      <c r="V51" s="4"/>
      <c r="W51" s="4"/>
      <c r="X51" s="4"/>
      <c r="Y51" s="4"/>
      <c r="Z51" s="4"/>
      <c r="AA51" t="b">
        <f>VLOOKUP(all_inputs!E51,ui!A$29:B$33,2,FALSE)</f>
        <v>0</v>
      </c>
    </row>
    <row r="52" spans="1:27" hidden="1" x14ac:dyDescent="0.25">
      <c r="A52" t="s">
        <v>26</v>
      </c>
      <c r="B52">
        <f>IF(COUNTIF(dropdown!B$2:B$12,all_inputs!A52)=1,1,IF(COUNTIF(dropdown!C$2:C$4,all_inputs!A52)=1,2,IF(COUNTIF(dropdown!D$2:D$3,all_inputs!A52)=1,3,"?")))</f>
        <v>1</v>
      </c>
      <c r="C52" t="s">
        <v>15</v>
      </c>
      <c r="D52" t="s">
        <v>466</v>
      </c>
      <c r="E52" t="s">
        <v>459</v>
      </c>
      <c r="F52" s="4">
        <v>1</v>
      </c>
      <c r="G52" s="4">
        <f>ui!B$4</f>
        <v>2025</v>
      </c>
      <c r="H52" s="4">
        <f>ui!B$5</f>
        <v>2050</v>
      </c>
      <c r="I52" s="4" t="s">
        <v>93</v>
      </c>
      <c r="J52" s="4" t="str">
        <f>VLOOKUP(ui!B$2,dropdown!M:O,3,FALSE)</f>
        <v>LIC</v>
      </c>
      <c r="K52" s="4"/>
      <c r="L52" s="4"/>
      <c r="M52" s="4"/>
      <c r="N52" s="4">
        <v>1</v>
      </c>
      <c r="O52" s="4"/>
      <c r="P52" s="4"/>
      <c r="Q52" s="4"/>
      <c r="R52" s="4">
        <v>1</v>
      </c>
      <c r="S52" s="4"/>
      <c r="T52" s="4"/>
      <c r="U52" s="4"/>
      <c r="V52" s="4"/>
      <c r="W52" s="4"/>
      <c r="X52" s="4"/>
      <c r="Y52" s="4"/>
      <c r="Z52" s="4"/>
      <c r="AA52" t="b">
        <f>VLOOKUP(all_inputs!E52,ui!A$29:B$33,2,FALSE)</f>
        <v>0</v>
      </c>
    </row>
    <row r="53" spans="1:27" hidden="1" x14ac:dyDescent="0.25">
      <c r="A53" t="s">
        <v>26</v>
      </c>
      <c r="B53">
        <f>IF(COUNTIF(dropdown!B$2:B$12,all_inputs!A53)=1,1,IF(COUNTIF(dropdown!C$2:C$4,all_inputs!A53)=1,2,IF(COUNTIF(dropdown!D$2:D$3,all_inputs!A53)=1,3,"?")))</f>
        <v>1</v>
      </c>
      <c r="C53" t="s">
        <v>16</v>
      </c>
      <c r="D53" t="s">
        <v>467</v>
      </c>
      <c r="E53" t="s">
        <v>459</v>
      </c>
      <c r="F53">
        <f>IF(AND(all_inputs!E53=dropdown!Z$8, COUNTIF(dropdown!Z$9:Z$19,all_inputs!A53)=1), dropdown!U$12, 1)</f>
        <v>1</v>
      </c>
      <c r="G53" s="4">
        <f>ui!B$4</f>
        <v>2025</v>
      </c>
      <c r="H53" s="4">
        <f>ui!B$5</f>
        <v>2050</v>
      </c>
      <c r="I53" s="4" t="s">
        <v>93</v>
      </c>
      <c r="J53" s="4" t="str">
        <f>VLOOKUP(ui!B$2,dropdown!M:O,3,FALSE)</f>
        <v>LIC</v>
      </c>
      <c r="K53" s="4"/>
      <c r="L53" s="4"/>
      <c r="M53" s="4"/>
      <c r="N53" s="4">
        <v>1</v>
      </c>
      <c r="O53" s="4"/>
      <c r="P53" s="4"/>
      <c r="Q53" s="4"/>
      <c r="R53" s="4">
        <v>1</v>
      </c>
      <c r="S53" s="4"/>
      <c r="T53" s="4"/>
      <c r="U53" s="4"/>
      <c r="V53" s="4"/>
      <c r="W53" s="4"/>
      <c r="X53" s="4"/>
      <c r="Y53" s="4"/>
      <c r="Z53" s="4"/>
      <c r="AA53" t="b">
        <f>VLOOKUP(all_inputs!E53,ui!A$29:B$33,2,FALSE)</f>
        <v>0</v>
      </c>
    </row>
    <row r="54" spans="1:27" hidden="1" x14ac:dyDescent="0.25">
      <c r="A54" t="s">
        <v>26</v>
      </c>
      <c r="B54">
        <f>IF(COUNTIF(dropdown!B$2:B$12,all_inputs!A54)=1,1,IF(COUNTIF(dropdown!C$2:C$4,all_inputs!A54)=1,2,IF(COUNTIF(dropdown!D$2:D$3,all_inputs!A54)=1,3,"?")))</f>
        <v>1</v>
      </c>
      <c r="C54" t="s">
        <v>17</v>
      </c>
      <c r="D54" t="s">
        <v>468</v>
      </c>
      <c r="E54" t="s">
        <v>459</v>
      </c>
      <c r="F54">
        <f>IF(AND(all_inputs!E54=dropdown!Z$8, COUNTIF(dropdown!Z$9:Z$19,all_inputs!A54)=1), dropdown!U$13, 1)</f>
        <v>1</v>
      </c>
      <c r="G54" s="4">
        <f>ui!B$4</f>
        <v>2025</v>
      </c>
      <c r="H54" s="4">
        <f>ui!B$5</f>
        <v>2050</v>
      </c>
      <c r="I54" s="4" t="s">
        <v>93</v>
      </c>
      <c r="J54" s="4" t="str">
        <f>VLOOKUP(ui!B$2,dropdown!M:O,3,FALSE)</f>
        <v>LIC</v>
      </c>
      <c r="K54" s="4"/>
      <c r="L54" s="4"/>
      <c r="M54" s="4"/>
      <c r="N54" s="4">
        <v>1</v>
      </c>
      <c r="O54" s="4"/>
      <c r="P54" s="4"/>
      <c r="Q54" s="4"/>
      <c r="R54" s="4">
        <v>1</v>
      </c>
      <c r="S54" s="4"/>
      <c r="T54" s="4"/>
      <c r="U54" s="4"/>
      <c r="V54" s="4"/>
      <c r="W54" s="4"/>
      <c r="X54" s="4"/>
      <c r="Y54" s="4"/>
      <c r="Z54" s="4"/>
      <c r="AA54" t="b">
        <f>VLOOKUP(all_inputs!E54,ui!A$29:B$33,2,FALSE)</f>
        <v>0</v>
      </c>
    </row>
    <row r="55" spans="1:27" hidden="1" x14ac:dyDescent="0.25">
      <c r="A55" s="2" t="s">
        <v>26</v>
      </c>
      <c r="B55" s="2">
        <f>IF(COUNTIF(dropdown!B$2:B$12,all_inputs!A55)=1,1,IF(COUNTIF(dropdown!C$2:C$4,all_inputs!A55)=1,2,IF(COUNTIF(dropdown!D$2:D$3,all_inputs!A55)=1,3,"?")))</f>
        <v>1</v>
      </c>
      <c r="C55" s="2" t="s">
        <v>18</v>
      </c>
      <c r="D55" s="2" t="s">
        <v>469</v>
      </c>
      <c r="E55" s="2" t="s">
        <v>459</v>
      </c>
      <c r="F55" s="2">
        <f>IF(AND(all_inputs!E55=dropdown!Z$8, COUNTIF(dropdown!Z$9:Z$19,all_inputs!A55)=1), dropdown!U$14, 1)</f>
        <v>1</v>
      </c>
      <c r="G55" s="5">
        <f>ui!B$4</f>
        <v>2025</v>
      </c>
      <c r="H55" s="5">
        <f>ui!B$5</f>
        <v>2050</v>
      </c>
      <c r="I55" s="5" t="s">
        <v>93</v>
      </c>
      <c r="J55" s="5" t="str">
        <f>VLOOKUP(ui!B$2,dropdown!M:O,3,FALSE)</f>
        <v>LIC</v>
      </c>
      <c r="K55" s="5"/>
      <c r="L55" s="5"/>
      <c r="M55" s="5"/>
      <c r="N55" s="5">
        <v>1</v>
      </c>
      <c r="O55" s="5"/>
      <c r="P55" s="5"/>
      <c r="Q55" s="5"/>
      <c r="R55" s="5">
        <v>1</v>
      </c>
      <c r="S55" s="5"/>
      <c r="T55" s="5"/>
      <c r="U55" s="5"/>
      <c r="V55" s="5"/>
      <c r="W55" s="5"/>
      <c r="X55" s="5"/>
      <c r="Y55" s="5"/>
      <c r="Z55" s="5"/>
      <c r="AA55" s="2" t="b">
        <f>VLOOKUP(all_inputs!E55,ui!A$29:B$33,2,FALSE)</f>
        <v>0</v>
      </c>
    </row>
    <row r="56" spans="1:27" hidden="1" x14ac:dyDescent="0.25">
      <c r="A56" t="s">
        <v>27</v>
      </c>
      <c r="B56">
        <f>IF(COUNTIF(dropdown!B$2:B$12,all_inputs!A56)=1,1,IF(COUNTIF(dropdown!C$2:C$4,all_inputs!A56)=1,2,IF(COUNTIF(dropdown!D$2:D$3,all_inputs!A56)=1,3,"?")))</f>
        <v>1</v>
      </c>
      <c r="C56" t="s">
        <v>13</v>
      </c>
      <c r="D56" t="s">
        <v>472</v>
      </c>
      <c r="E56" t="s">
        <v>459</v>
      </c>
      <c r="F56" s="4">
        <v>1</v>
      </c>
      <c r="G56" s="4">
        <f>ui!B$4</f>
        <v>2025</v>
      </c>
      <c r="H56" s="4">
        <f>ui!B$5</f>
        <v>2050</v>
      </c>
      <c r="I56" s="4" t="s">
        <v>93</v>
      </c>
      <c r="J56" s="4" t="str">
        <f>VLOOKUP(ui!B$2,dropdown!M:O,3,FALSE)</f>
        <v>LIC</v>
      </c>
      <c r="K56" s="4"/>
      <c r="L56" s="4"/>
      <c r="M56" s="4"/>
      <c r="N56" s="4">
        <v>1</v>
      </c>
      <c r="O56" s="4"/>
      <c r="P56" s="4"/>
      <c r="Q56" s="4"/>
      <c r="R56" s="4">
        <v>1</v>
      </c>
      <c r="S56" s="4"/>
      <c r="T56" s="4"/>
      <c r="U56" s="4"/>
      <c r="V56" s="4"/>
      <c r="W56" s="4"/>
      <c r="X56" s="4"/>
      <c r="Y56" s="4"/>
      <c r="Z56" s="4"/>
      <c r="AA56" t="b">
        <f>VLOOKUP(all_inputs!E56,ui!A$29:B$33,2,FALSE)</f>
        <v>0</v>
      </c>
    </row>
    <row r="57" spans="1:27" hidden="1" x14ac:dyDescent="0.25">
      <c r="A57" t="s">
        <v>27</v>
      </c>
      <c r="B57">
        <f>IF(COUNTIF(dropdown!B$2:B$12,all_inputs!A57)=1,1,IF(COUNTIF(dropdown!C$2:C$4,all_inputs!A57)=1,2,IF(COUNTIF(dropdown!D$2:D$3,all_inputs!A57)=1,3,"?")))</f>
        <v>1</v>
      </c>
      <c r="C57" t="s">
        <v>14</v>
      </c>
      <c r="D57" t="s">
        <v>466</v>
      </c>
      <c r="E57" t="s">
        <v>459</v>
      </c>
      <c r="F57">
        <f>IF(AND(all_inputs!E57=dropdown!Z$8, COUNTIF(dropdown!Z$9:Z$19,all_inputs!A57)=1), dropdown!U$10, 1)</f>
        <v>1</v>
      </c>
      <c r="G57" s="4">
        <f>ui!B$4</f>
        <v>2025</v>
      </c>
      <c r="H57" s="4">
        <f>ui!B$5</f>
        <v>2050</v>
      </c>
      <c r="I57" s="4" t="s">
        <v>93</v>
      </c>
      <c r="J57" s="4" t="str">
        <f>VLOOKUP(ui!B$2,dropdown!M:O,3,FALSE)</f>
        <v>LIC</v>
      </c>
      <c r="K57" s="4"/>
      <c r="L57" s="4"/>
      <c r="M57" s="4"/>
      <c r="N57" s="4">
        <v>1</v>
      </c>
      <c r="O57" s="4"/>
      <c r="P57" s="4"/>
      <c r="Q57" s="4"/>
      <c r="R57" s="4">
        <v>1</v>
      </c>
      <c r="S57" s="4"/>
      <c r="T57" s="4"/>
      <c r="U57" s="4"/>
      <c r="V57" s="4"/>
      <c r="W57" s="4"/>
      <c r="X57" s="4"/>
      <c r="Y57" s="4"/>
      <c r="Z57" s="4"/>
      <c r="AA57" t="b">
        <f>VLOOKUP(all_inputs!E57,ui!A$29:B$33,2,FALSE)</f>
        <v>0</v>
      </c>
    </row>
    <row r="58" spans="1:27" hidden="1" x14ac:dyDescent="0.25">
      <c r="A58" t="s">
        <v>27</v>
      </c>
      <c r="B58">
        <f>IF(COUNTIF(dropdown!B$2:B$12,all_inputs!A58)=1,1,IF(COUNTIF(dropdown!C$2:C$4,all_inputs!A58)=1,2,IF(COUNTIF(dropdown!D$2:D$3,all_inputs!A58)=1,3,"?")))</f>
        <v>1</v>
      </c>
      <c r="C58" t="s">
        <v>15</v>
      </c>
      <c r="D58" t="s">
        <v>466</v>
      </c>
      <c r="E58" t="s">
        <v>459</v>
      </c>
      <c r="F58" s="4">
        <v>1</v>
      </c>
      <c r="G58" s="4">
        <f>ui!B$4</f>
        <v>2025</v>
      </c>
      <c r="H58" s="4">
        <f>ui!B$5</f>
        <v>2050</v>
      </c>
      <c r="I58" s="4" t="s">
        <v>93</v>
      </c>
      <c r="J58" s="4" t="str">
        <f>VLOOKUP(ui!B$2,dropdown!M:O,3,FALSE)</f>
        <v>LIC</v>
      </c>
      <c r="K58" s="4"/>
      <c r="L58" s="4"/>
      <c r="M58" s="4"/>
      <c r="N58" s="4">
        <v>1</v>
      </c>
      <c r="O58" s="4"/>
      <c r="P58" s="4"/>
      <c r="Q58" s="4"/>
      <c r="R58" s="4">
        <v>1</v>
      </c>
      <c r="S58" s="4"/>
      <c r="T58" s="4"/>
      <c r="U58" s="4"/>
      <c r="V58" s="4"/>
      <c r="W58" s="4"/>
      <c r="X58" s="4"/>
      <c r="Y58" s="4"/>
      <c r="Z58" s="4"/>
      <c r="AA58" t="b">
        <f>VLOOKUP(all_inputs!E58,ui!A$29:B$33,2,FALSE)</f>
        <v>0</v>
      </c>
    </row>
    <row r="59" spans="1:27" hidden="1" x14ac:dyDescent="0.25">
      <c r="A59" t="s">
        <v>27</v>
      </c>
      <c r="B59">
        <f>IF(COUNTIF(dropdown!B$2:B$12,all_inputs!A59)=1,1,IF(COUNTIF(dropdown!C$2:C$4,all_inputs!A59)=1,2,IF(COUNTIF(dropdown!D$2:D$3,all_inputs!A59)=1,3,"?")))</f>
        <v>1</v>
      </c>
      <c r="C59" t="s">
        <v>16</v>
      </c>
      <c r="D59" t="s">
        <v>467</v>
      </c>
      <c r="E59" t="s">
        <v>459</v>
      </c>
      <c r="F59">
        <f>IF(AND(all_inputs!E59=dropdown!Z$8, COUNTIF(dropdown!Z$9:Z$19,all_inputs!A59)=1), dropdown!U$12, 1)</f>
        <v>1</v>
      </c>
      <c r="G59" s="4">
        <f>ui!B$4</f>
        <v>2025</v>
      </c>
      <c r="H59" s="4">
        <f>ui!B$5</f>
        <v>2050</v>
      </c>
      <c r="I59" s="4" t="s">
        <v>93</v>
      </c>
      <c r="J59" s="4" t="str">
        <f>VLOOKUP(ui!B$2,dropdown!M:O,3,FALSE)</f>
        <v>LIC</v>
      </c>
      <c r="K59" s="4"/>
      <c r="L59" s="4"/>
      <c r="M59" s="4"/>
      <c r="N59" s="4">
        <v>1</v>
      </c>
      <c r="O59" s="4"/>
      <c r="P59" s="4"/>
      <c r="Q59" s="4"/>
      <c r="R59" s="4">
        <v>1</v>
      </c>
      <c r="S59" s="4"/>
      <c r="T59" s="4"/>
      <c r="U59" s="4"/>
      <c r="V59" s="4"/>
      <c r="W59" s="4"/>
      <c r="X59" s="4"/>
      <c r="Y59" s="4"/>
      <c r="Z59" s="4"/>
      <c r="AA59" t="b">
        <f>VLOOKUP(all_inputs!E59,ui!A$29:B$33,2,FALSE)</f>
        <v>0</v>
      </c>
    </row>
    <row r="60" spans="1:27" hidden="1" x14ac:dyDescent="0.25">
      <c r="A60" t="s">
        <v>27</v>
      </c>
      <c r="B60">
        <f>IF(COUNTIF(dropdown!B$2:B$12,all_inputs!A60)=1,1,IF(COUNTIF(dropdown!C$2:C$4,all_inputs!A60)=1,2,IF(COUNTIF(dropdown!D$2:D$3,all_inputs!A60)=1,3,"?")))</f>
        <v>1</v>
      </c>
      <c r="C60" t="s">
        <v>17</v>
      </c>
      <c r="D60" t="s">
        <v>468</v>
      </c>
      <c r="E60" t="s">
        <v>459</v>
      </c>
      <c r="F60">
        <f>IF(AND(all_inputs!E60=dropdown!Z$8, COUNTIF(dropdown!Z$9:Z$19,all_inputs!A60)=1), dropdown!U$13, 1)</f>
        <v>1</v>
      </c>
      <c r="G60" s="4">
        <f>ui!B$4</f>
        <v>2025</v>
      </c>
      <c r="H60" s="4">
        <f>ui!B$5</f>
        <v>2050</v>
      </c>
      <c r="I60" s="4" t="s">
        <v>93</v>
      </c>
      <c r="J60" s="4" t="str">
        <f>VLOOKUP(ui!B$2,dropdown!M:O,3,FALSE)</f>
        <v>LIC</v>
      </c>
      <c r="K60" s="4"/>
      <c r="L60" s="4"/>
      <c r="M60" s="4"/>
      <c r="N60" s="4">
        <v>1</v>
      </c>
      <c r="O60" s="4"/>
      <c r="P60" s="4"/>
      <c r="Q60" s="4"/>
      <c r="R60" s="4">
        <v>1</v>
      </c>
      <c r="S60" s="4"/>
      <c r="T60" s="4"/>
      <c r="U60" s="4"/>
      <c r="V60" s="4"/>
      <c r="W60" s="4"/>
      <c r="X60" s="4"/>
      <c r="Y60" s="4"/>
      <c r="Z60" s="4"/>
      <c r="AA60" t="b">
        <f>VLOOKUP(all_inputs!E60,ui!A$29:B$33,2,FALSE)</f>
        <v>0</v>
      </c>
    </row>
    <row r="61" spans="1:27" hidden="1" x14ac:dyDescent="0.25">
      <c r="A61" s="2" t="s">
        <v>27</v>
      </c>
      <c r="B61" s="2">
        <f>IF(COUNTIF(dropdown!B$2:B$12,all_inputs!A61)=1,1,IF(COUNTIF(dropdown!C$2:C$4,all_inputs!A61)=1,2,IF(COUNTIF(dropdown!D$2:D$3,all_inputs!A61)=1,3,"?")))</f>
        <v>1</v>
      </c>
      <c r="C61" s="2" t="s">
        <v>18</v>
      </c>
      <c r="D61" s="2" t="s">
        <v>469</v>
      </c>
      <c r="E61" s="2" t="s">
        <v>459</v>
      </c>
      <c r="F61" s="2">
        <f>IF(AND(all_inputs!E61=dropdown!Z$8, COUNTIF(dropdown!Z$9:Z$19,all_inputs!A61)=1), dropdown!U$14, 1)</f>
        <v>1</v>
      </c>
      <c r="G61" s="5">
        <f>ui!B$4</f>
        <v>2025</v>
      </c>
      <c r="H61" s="5">
        <f>ui!B$5</f>
        <v>2050</v>
      </c>
      <c r="I61" s="5" t="s">
        <v>93</v>
      </c>
      <c r="J61" s="5" t="str">
        <f>VLOOKUP(ui!B$2,dropdown!M:O,3,FALSE)</f>
        <v>LIC</v>
      </c>
      <c r="K61" s="5"/>
      <c r="L61" s="5"/>
      <c r="M61" s="5"/>
      <c r="N61" s="5">
        <v>1</v>
      </c>
      <c r="O61" s="5"/>
      <c r="P61" s="5"/>
      <c r="Q61" s="5"/>
      <c r="R61" s="5">
        <v>1</v>
      </c>
      <c r="S61" s="5"/>
      <c r="T61" s="5"/>
      <c r="U61" s="5"/>
      <c r="V61" s="5"/>
      <c r="W61" s="5"/>
      <c r="X61" s="5"/>
      <c r="Y61" s="5"/>
      <c r="Z61" s="5"/>
      <c r="AA61" s="2" t="b">
        <f>VLOOKUP(all_inputs!E61,ui!A$29:B$33,2,FALSE)</f>
        <v>0</v>
      </c>
    </row>
    <row r="62" spans="1:27" hidden="1" x14ac:dyDescent="0.25">
      <c r="A62" t="s">
        <v>28</v>
      </c>
      <c r="B62">
        <f>IF(COUNTIF(dropdown!B$2:B$12,all_inputs!A62)=1,1,IF(COUNTIF(dropdown!C$2:C$4,all_inputs!A62)=1,2,IF(COUNTIF(dropdown!D$2:D$3,all_inputs!A62)=1,3,"?")))</f>
        <v>1</v>
      </c>
      <c r="C62" t="s">
        <v>13</v>
      </c>
      <c r="D62" t="s">
        <v>472</v>
      </c>
      <c r="E62" t="s">
        <v>459</v>
      </c>
      <c r="F62" s="4">
        <v>1</v>
      </c>
      <c r="G62" s="4">
        <f>ui!B$4</f>
        <v>2025</v>
      </c>
      <c r="H62" s="4">
        <f>ui!B$5</f>
        <v>2050</v>
      </c>
      <c r="I62" s="4" t="s">
        <v>93</v>
      </c>
      <c r="J62" s="4" t="str">
        <f>VLOOKUP(ui!B$2,dropdown!M:O,3,FALSE)</f>
        <v>LIC</v>
      </c>
      <c r="K62" s="4"/>
      <c r="L62" s="4"/>
      <c r="M62" s="4"/>
      <c r="N62" s="4">
        <v>1</v>
      </c>
      <c r="O62" s="4"/>
      <c r="P62" s="4"/>
      <c r="Q62" s="4"/>
      <c r="R62" s="4">
        <v>1</v>
      </c>
      <c r="S62" s="4"/>
      <c r="T62" s="4"/>
      <c r="U62" s="4"/>
      <c r="V62" s="4"/>
      <c r="W62" s="4"/>
      <c r="X62" s="4"/>
      <c r="Y62" s="4"/>
      <c r="Z62" s="4"/>
      <c r="AA62" t="b">
        <f>VLOOKUP(all_inputs!E62,ui!A$29:B$33,2,FALSE)</f>
        <v>0</v>
      </c>
    </row>
    <row r="63" spans="1:27" hidden="1" x14ac:dyDescent="0.25">
      <c r="A63" t="s">
        <v>28</v>
      </c>
      <c r="B63">
        <f>IF(COUNTIF(dropdown!B$2:B$12,all_inputs!A63)=1,1,IF(COUNTIF(dropdown!C$2:C$4,all_inputs!A63)=1,2,IF(COUNTIF(dropdown!D$2:D$3,all_inputs!A63)=1,3,"?")))</f>
        <v>1</v>
      </c>
      <c r="C63" t="s">
        <v>14</v>
      </c>
      <c r="D63" t="s">
        <v>466</v>
      </c>
      <c r="E63" t="s">
        <v>459</v>
      </c>
      <c r="F63">
        <f>IF(AND(all_inputs!E63=dropdown!Z$8, COUNTIF(dropdown!Z$9:Z$19,all_inputs!A63)=1), dropdown!U$10, 1)</f>
        <v>1</v>
      </c>
      <c r="G63" s="4">
        <f>ui!B$4</f>
        <v>2025</v>
      </c>
      <c r="H63" s="4">
        <f>ui!B$5</f>
        <v>2050</v>
      </c>
      <c r="I63" s="4" t="s">
        <v>93</v>
      </c>
      <c r="J63" s="4" t="str">
        <f>VLOOKUP(ui!B$2,dropdown!M:O,3,FALSE)</f>
        <v>LIC</v>
      </c>
      <c r="K63" s="4"/>
      <c r="L63" s="4"/>
      <c r="M63" s="4"/>
      <c r="N63" s="4">
        <v>1</v>
      </c>
      <c r="O63" s="4"/>
      <c r="P63" s="4"/>
      <c r="Q63" s="4"/>
      <c r="R63" s="4">
        <v>1</v>
      </c>
      <c r="S63" s="4"/>
      <c r="T63" s="4"/>
      <c r="U63" s="4"/>
      <c r="V63" s="4"/>
      <c r="W63" s="4"/>
      <c r="X63" s="4"/>
      <c r="Y63" s="4"/>
      <c r="Z63" s="4"/>
      <c r="AA63" t="b">
        <f>VLOOKUP(all_inputs!E63,ui!A$29:B$33,2,FALSE)</f>
        <v>0</v>
      </c>
    </row>
    <row r="64" spans="1:27" hidden="1" x14ac:dyDescent="0.25">
      <c r="A64" t="s">
        <v>28</v>
      </c>
      <c r="B64">
        <f>IF(COUNTIF(dropdown!B$2:B$12,all_inputs!A64)=1,1,IF(COUNTIF(dropdown!C$2:C$4,all_inputs!A64)=1,2,IF(COUNTIF(dropdown!D$2:D$3,all_inputs!A64)=1,3,"?")))</f>
        <v>1</v>
      </c>
      <c r="C64" t="s">
        <v>15</v>
      </c>
      <c r="D64" t="s">
        <v>466</v>
      </c>
      <c r="E64" t="s">
        <v>459</v>
      </c>
      <c r="F64" s="4">
        <v>1</v>
      </c>
      <c r="G64" s="4">
        <f>ui!B$4</f>
        <v>2025</v>
      </c>
      <c r="H64" s="4">
        <f>ui!B$5</f>
        <v>2050</v>
      </c>
      <c r="I64" s="4" t="s">
        <v>93</v>
      </c>
      <c r="J64" s="4" t="str">
        <f>VLOOKUP(ui!B$2,dropdown!M:O,3,FALSE)</f>
        <v>LIC</v>
      </c>
      <c r="K64" s="4"/>
      <c r="L64" s="4"/>
      <c r="M64" s="4"/>
      <c r="N64" s="4">
        <v>1</v>
      </c>
      <c r="O64" s="4"/>
      <c r="P64" s="4"/>
      <c r="Q64" s="4"/>
      <c r="R64" s="4">
        <v>1</v>
      </c>
      <c r="S64" s="4"/>
      <c r="T64" s="4"/>
      <c r="U64" s="4"/>
      <c r="V64" s="4"/>
      <c r="W64" s="4"/>
      <c r="X64" s="4"/>
      <c r="Y64" s="4"/>
      <c r="Z64" s="4"/>
      <c r="AA64" t="b">
        <f>VLOOKUP(all_inputs!E64,ui!A$29:B$33,2,FALSE)</f>
        <v>0</v>
      </c>
    </row>
    <row r="65" spans="1:27" hidden="1" x14ac:dyDescent="0.25">
      <c r="A65" t="s">
        <v>28</v>
      </c>
      <c r="B65">
        <f>IF(COUNTIF(dropdown!B$2:B$12,all_inputs!A65)=1,1,IF(COUNTIF(dropdown!C$2:C$4,all_inputs!A65)=1,2,IF(COUNTIF(dropdown!D$2:D$3,all_inputs!A65)=1,3,"?")))</f>
        <v>1</v>
      </c>
      <c r="C65" t="s">
        <v>16</v>
      </c>
      <c r="D65" t="s">
        <v>467</v>
      </c>
      <c r="E65" t="s">
        <v>459</v>
      </c>
      <c r="F65">
        <f>IF(AND(all_inputs!E65=dropdown!Z$8, COUNTIF(dropdown!Z$9:Z$19,all_inputs!A65)=1), dropdown!U$12, 1)</f>
        <v>1</v>
      </c>
      <c r="G65" s="4">
        <f>ui!B$4</f>
        <v>2025</v>
      </c>
      <c r="H65" s="4">
        <f>ui!B$5</f>
        <v>2050</v>
      </c>
      <c r="I65" s="4" t="s">
        <v>93</v>
      </c>
      <c r="J65" s="4" t="str">
        <f>VLOOKUP(ui!B$2,dropdown!M:O,3,FALSE)</f>
        <v>LIC</v>
      </c>
      <c r="K65" s="4"/>
      <c r="L65" s="4"/>
      <c r="M65" s="4"/>
      <c r="N65" s="4">
        <v>1</v>
      </c>
      <c r="O65" s="4"/>
      <c r="P65" s="4"/>
      <c r="Q65" s="4"/>
      <c r="R65" s="4">
        <v>1</v>
      </c>
      <c r="S65" s="4"/>
      <c r="T65" s="4"/>
      <c r="U65" s="4"/>
      <c r="V65" s="4"/>
      <c r="W65" s="4"/>
      <c r="X65" s="4"/>
      <c r="Y65" s="4"/>
      <c r="Z65" s="4"/>
      <c r="AA65" t="b">
        <f>VLOOKUP(all_inputs!E65,ui!A$29:B$33,2,FALSE)</f>
        <v>0</v>
      </c>
    </row>
    <row r="66" spans="1:27" hidden="1" x14ac:dyDescent="0.25">
      <c r="A66" t="s">
        <v>28</v>
      </c>
      <c r="B66">
        <f>IF(COUNTIF(dropdown!B$2:B$12,all_inputs!A66)=1,1,IF(COUNTIF(dropdown!C$2:C$4,all_inputs!A66)=1,2,IF(COUNTIF(dropdown!D$2:D$3,all_inputs!A66)=1,3,"?")))</f>
        <v>1</v>
      </c>
      <c r="C66" t="s">
        <v>17</v>
      </c>
      <c r="D66" t="s">
        <v>468</v>
      </c>
      <c r="E66" t="s">
        <v>459</v>
      </c>
      <c r="F66">
        <f>IF(AND(all_inputs!E66=dropdown!Z$8, COUNTIF(dropdown!Z$9:Z$19,all_inputs!A66)=1), dropdown!U$13, 1)</f>
        <v>1</v>
      </c>
      <c r="G66" s="4">
        <f>ui!B$4</f>
        <v>2025</v>
      </c>
      <c r="H66" s="4">
        <f>ui!B$5</f>
        <v>2050</v>
      </c>
      <c r="I66" s="4" t="s">
        <v>93</v>
      </c>
      <c r="J66" s="4" t="str">
        <f>VLOOKUP(ui!B$2,dropdown!M:O,3,FALSE)</f>
        <v>LIC</v>
      </c>
      <c r="K66" s="4"/>
      <c r="L66" s="4"/>
      <c r="M66" s="4"/>
      <c r="N66" s="4">
        <v>1</v>
      </c>
      <c r="O66" s="4"/>
      <c r="P66" s="4"/>
      <c r="Q66" s="4"/>
      <c r="R66" s="4">
        <v>1</v>
      </c>
      <c r="S66" s="4"/>
      <c r="T66" s="4"/>
      <c r="U66" s="4"/>
      <c r="V66" s="4"/>
      <c r="W66" s="4"/>
      <c r="X66" s="4"/>
      <c r="Y66" s="4"/>
      <c r="Z66" s="4"/>
      <c r="AA66" t="b">
        <f>VLOOKUP(all_inputs!E66,ui!A$29:B$33,2,FALSE)</f>
        <v>0</v>
      </c>
    </row>
    <row r="67" spans="1:27" hidden="1" x14ac:dyDescent="0.25">
      <c r="A67" s="2" t="s">
        <v>28</v>
      </c>
      <c r="B67" s="2">
        <f>IF(COUNTIF(dropdown!B$2:B$12,all_inputs!A67)=1,1,IF(COUNTIF(dropdown!C$2:C$4,all_inputs!A67)=1,2,IF(COUNTIF(dropdown!D$2:D$3,all_inputs!A67)=1,3,"?")))</f>
        <v>1</v>
      </c>
      <c r="C67" s="2" t="s">
        <v>18</v>
      </c>
      <c r="D67" s="2" t="s">
        <v>469</v>
      </c>
      <c r="E67" s="2" t="s">
        <v>459</v>
      </c>
      <c r="F67" s="2">
        <f>IF(AND(all_inputs!E67=dropdown!Z$8, COUNTIF(dropdown!Z$9:Z$19,all_inputs!A67)=1), dropdown!U$14, 1)</f>
        <v>1</v>
      </c>
      <c r="G67" s="5">
        <f>ui!B$4</f>
        <v>2025</v>
      </c>
      <c r="H67" s="5">
        <f>ui!B$5</f>
        <v>2050</v>
      </c>
      <c r="I67" s="5" t="s">
        <v>93</v>
      </c>
      <c r="J67" s="5" t="str">
        <f>VLOOKUP(ui!B$2,dropdown!M:O,3,FALSE)</f>
        <v>LIC</v>
      </c>
      <c r="K67" s="5"/>
      <c r="L67" s="5"/>
      <c r="M67" s="5"/>
      <c r="N67" s="5">
        <v>1</v>
      </c>
      <c r="O67" s="5"/>
      <c r="P67" s="5"/>
      <c r="Q67" s="5"/>
      <c r="R67" s="5">
        <v>1</v>
      </c>
      <c r="S67" s="5"/>
      <c r="T67" s="5"/>
      <c r="U67" s="5"/>
      <c r="V67" s="5"/>
      <c r="W67" s="5"/>
      <c r="X67" s="5"/>
      <c r="Y67" s="5"/>
      <c r="Z67" s="5"/>
      <c r="AA67" s="2" t="b">
        <f>VLOOKUP(all_inputs!E67,ui!A$29:B$33,2,FALSE)</f>
        <v>0</v>
      </c>
    </row>
    <row r="68" spans="1:27" hidden="1" x14ac:dyDescent="0.25">
      <c r="A68" t="s">
        <v>29</v>
      </c>
      <c r="B68">
        <f>IF(COUNTIF(dropdown!B$2:B$12,all_inputs!A68)=1,1,IF(COUNTIF(dropdown!C$2:C$4,all_inputs!A68)=1,2,IF(COUNTIF(dropdown!D$2:D$3,all_inputs!A68)=1,3,"?")))</f>
        <v>2</v>
      </c>
      <c r="C68" t="s">
        <v>13</v>
      </c>
      <c r="D68" t="s">
        <v>472</v>
      </c>
      <c r="E68" t="s">
        <v>459</v>
      </c>
      <c r="F68" s="4">
        <v>1</v>
      </c>
      <c r="G68" s="4">
        <f>ui!B$4</f>
        <v>2025</v>
      </c>
      <c r="H68" s="4">
        <f>ui!B$5</f>
        <v>2050</v>
      </c>
      <c r="I68" s="4" t="s">
        <v>93</v>
      </c>
      <c r="J68" s="4" t="str">
        <f>VLOOKUP(ui!B$2,dropdown!M:O,3,FALSE)</f>
        <v>LIC</v>
      </c>
      <c r="K68" s="4"/>
      <c r="L68" s="4"/>
      <c r="M68" s="4"/>
      <c r="N68" s="4">
        <v>1</v>
      </c>
      <c r="O68" s="4"/>
      <c r="P68" s="4"/>
      <c r="Q68" s="4"/>
      <c r="R68" s="4">
        <v>1</v>
      </c>
      <c r="S68" s="4"/>
      <c r="T68" s="4"/>
      <c r="U68" s="4"/>
      <c r="V68" s="4"/>
      <c r="W68" s="4"/>
      <c r="X68" s="4"/>
      <c r="Y68" s="4"/>
      <c r="Z68" s="4"/>
      <c r="AA68" t="b">
        <f>VLOOKUP(all_inputs!E68,ui!A$29:B$33,2,FALSE)</f>
        <v>0</v>
      </c>
    </row>
    <row r="69" spans="1:27" hidden="1" x14ac:dyDescent="0.25">
      <c r="A69" t="s">
        <v>29</v>
      </c>
      <c r="B69">
        <f>IF(COUNTIF(dropdown!B$2:B$12,all_inputs!A69)=1,1,IF(COUNTIF(dropdown!C$2:C$4,all_inputs!A69)=1,2,IF(COUNTIF(dropdown!D$2:D$3,all_inputs!A69)=1,3,"?")))</f>
        <v>2</v>
      </c>
      <c r="C69" t="s">
        <v>14</v>
      </c>
      <c r="D69" t="s">
        <v>466</v>
      </c>
      <c r="E69" t="s">
        <v>459</v>
      </c>
      <c r="F69">
        <f>IF(AND(all_inputs!E69=dropdown!Z$8, COUNTIF(dropdown!Z$9:Z$19,all_inputs!A69)=1), dropdown!U$10, 1)</f>
        <v>1</v>
      </c>
      <c r="G69" s="4">
        <f>ui!B$4</f>
        <v>2025</v>
      </c>
      <c r="H69" s="4">
        <f>ui!B$5</f>
        <v>2050</v>
      </c>
      <c r="I69" s="4" t="s">
        <v>93</v>
      </c>
      <c r="J69" s="4" t="str">
        <f>VLOOKUP(ui!B$2,dropdown!M:O,3,FALSE)</f>
        <v>LIC</v>
      </c>
      <c r="K69" s="4"/>
      <c r="L69" s="4"/>
      <c r="M69" s="4"/>
      <c r="N69" s="4">
        <v>1</v>
      </c>
      <c r="O69" s="4"/>
      <c r="P69" s="4"/>
      <c r="Q69" s="4"/>
      <c r="R69" s="4">
        <v>1</v>
      </c>
      <c r="S69" s="4"/>
      <c r="T69" s="4"/>
      <c r="U69" s="4"/>
      <c r="V69" s="4"/>
      <c r="W69" s="4"/>
      <c r="X69" s="4"/>
      <c r="Y69" s="4"/>
      <c r="Z69" s="4"/>
      <c r="AA69" t="b">
        <f>VLOOKUP(all_inputs!E69,ui!A$29:B$33,2,FALSE)</f>
        <v>0</v>
      </c>
    </row>
    <row r="70" spans="1:27" hidden="1" x14ac:dyDescent="0.25">
      <c r="A70" t="s">
        <v>29</v>
      </c>
      <c r="B70">
        <f>IF(COUNTIF(dropdown!B$2:B$12,all_inputs!A70)=1,1,IF(COUNTIF(dropdown!C$2:C$4,all_inputs!A70)=1,2,IF(COUNTIF(dropdown!D$2:D$3,all_inputs!A70)=1,3,"?")))</f>
        <v>2</v>
      </c>
      <c r="C70" t="s">
        <v>15</v>
      </c>
      <c r="D70" t="s">
        <v>466</v>
      </c>
      <c r="E70" t="s">
        <v>459</v>
      </c>
      <c r="F70" s="4">
        <v>1</v>
      </c>
      <c r="G70" s="4">
        <f>ui!B$4</f>
        <v>2025</v>
      </c>
      <c r="H70" s="4">
        <f>ui!B$5</f>
        <v>2050</v>
      </c>
      <c r="I70" s="4" t="s">
        <v>93</v>
      </c>
      <c r="J70" s="4" t="str">
        <f>VLOOKUP(ui!B$2,dropdown!M:O,3,FALSE)</f>
        <v>LIC</v>
      </c>
      <c r="K70" s="4"/>
      <c r="L70" s="4"/>
      <c r="M70" s="4"/>
      <c r="N70" s="4">
        <v>1</v>
      </c>
      <c r="O70" s="4"/>
      <c r="P70" s="4"/>
      <c r="Q70" s="4"/>
      <c r="R70" s="4">
        <v>1</v>
      </c>
      <c r="S70" s="4"/>
      <c r="T70" s="4"/>
      <c r="U70" s="4"/>
      <c r="V70" s="4"/>
      <c r="W70" s="4"/>
      <c r="X70" s="4"/>
      <c r="Y70" s="4"/>
      <c r="Z70" s="4"/>
      <c r="AA70" t="b">
        <f>VLOOKUP(all_inputs!E70,ui!A$29:B$33,2,FALSE)</f>
        <v>0</v>
      </c>
    </row>
    <row r="71" spans="1:27" hidden="1" x14ac:dyDescent="0.25">
      <c r="A71" t="s">
        <v>29</v>
      </c>
      <c r="B71">
        <f>IF(COUNTIF(dropdown!B$2:B$12,all_inputs!A71)=1,1,IF(COUNTIF(dropdown!C$2:C$4,all_inputs!A71)=1,2,IF(COUNTIF(dropdown!D$2:D$3,all_inputs!A71)=1,3,"?")))</f>
        <v>2</v>
      </c>
      <c r="C71" t="s">
        <v>16</v>
      </c>
      <c r="D71" t="s">
        <v>467</v>
      </c>
      <c r="E71" t="s">
        <v>459</v>
      </c>
      <c r="F71">
        <f>IF(AND(all_inputs!E71=dropdown!Z$8, COUNTIF(dropdown!Z$9:Z$19,all_inputs!A71)=1), dropdown!U$12, 1)</f>
        <v>1</v>
      </c>
      <c r="G71" s="4">
        <f>ui!B$4</f>
        <v>2025</v>
      </c>
      <c r="H71" s="4">
        <f>ui!B$5</f>
        <v>2050</v>
      </c>
      <c r="I71" s="4" t="s">
        <v>93</v>
      </c>
      <c r="J71" s="4" t="str">
        <f>VLOOKUP(ui!B$2,dropdown!M:O,3,FALSE)</f>
        <v>LIC</v>
      </c>
      <c r="K71" s="4"/>
      <c r="L71" s="4"/>
      <c r="M71" s="4"/>
      <c r="N71" s="4">
        <v>1</v>
      </c>
      <c r="O71" s="4"/>
      <c r="P71" s="4"/>
      <c r="Q71" s="4"/>
      <c r="R71" s="4">
        <v>1</v>
      </c>
      <c r="S71" s="4"/>
      <c r="T71" s="4"/>
      <c r="U71" s="4"/>
      <c r="V71" s="4"/>
      <c r="W71" s="4"/>
      <c r="X71" s="4"/>
      <c r="Y71" s="4"/>
      <c r="Z71" s="4"/>
      <c r="AA71" t="b">
        <f>VLOOKUP(all_inputs!E71,ui!A$29:B$33,2,FALSE)</f>
        <v>0</v>
      </c>
    </row>
    <row r="72" spans="1:27" hidden="1" x14ac:dyDescent="0.25">
      <c r="A72" t="s">
        <v>29</v>
      </c>
      <c r="B72">
        <f>IF(COUNTIF(dropdown!B$2:B$12,all_inputs!A72)=1,1,IF(COUNTIF(dropdown!C$2:C$4,all_inputs!A72)=1,2,IF(COUNTIF(dropdown!D$2:D$3,all_inputs!A72)=1,3,"?")))</f>
        <v>2</v>
      </c>
      <c r="C72" t="s">
        <v>17</v>
      </c>
      <c r="D72" t="s">
        <v>468</v>
      </c>
      <c r="E72" t="s">
        <v>459</v>
      </c>
      <c r="F72">
        <f>IF(AND(all_inputs!E72=dropdown!Z$8, COUNTIF(dropdown!Z$9:Z$19,all_inputs!A72)=1), dropdown!U$13, 1)</f>
        <v>1</v>
      </c>
      <c r="G72" s="4">
        <f>ui!B$4</f>
        <v>2025</v>
      </c>
      <c r="H72" s="4">
        <f>ui!B$5</f>
        <v>2050</v>
      </c>
      <c r="I72" s="4" t="s">
        <v>93</v>
      </c>
      <c r="J72" s="4" t="str">
        <f>VLOOKUP(ui!B$2,dropdown!M:O,3,FALSE)</f>
        <v>LIC</v>
      </c>
      <c r="K72" s="4"/>
      <c r="L72" s="4"/>
      <c r="M72" s="4"/>
      <c r="N72" s="4">
        <v>1</v>
      </c>
      <c r="O72" s="4"/>
      <c r="P72" s="4"/>
      <c r="Q72" s="4"/>
      <c r="R72" s="4">
        <v>1</v>
      </c>
      <c r="S72" s="4"/>
      <c r="T72" s="4"/>
      <c r="U72" s="4"/>
      <c r="V72" s="4"/>
      <c r="W72" s="4"/>
      <c r="X72" s="4"/>
      <c r="Y72" s="4"/>
      <c r="Z72" s="4"/>
      <c r="AA72" t="b">
        <f>VLOOKUP(all_inputs!E72,ui!A$29:B$33,2,FALSE)</f>
        <v>0</v>
      </c>
    </row>
    <row r="73" spans="1:27" hidden="1" x14ac:dyDescent="0.25">
      <c r="A73" s="2" t="s">
        <v>29</v>
      </c>
      <c r="B73" s="2">
        <f>IF(COUNTIF(dropdown!B$2:B$12,all_inputs!A73)=1,1,IF(COUNTIF(dropdown!C$2:C$4,all_inputs!A73)=1,2,IF(COUNTIF(dropdown!D$2:D$3,all_inputs!A73)=1,3,"?")))</f>
        <v>2</v>
      </c>
      <c r="C73" s="2" t="s">
        <v>18</v>
      </c>
      <c r="D73" s="2" t="s">
        <v>469</v>
      </c>
      <c r="E73" s="2" t="s">
        <v>459</v>
      </c>
      <c r="F73" s="2">
        <f>IF(AND(all_inputs!E73=dropdown!Z$8, COUNTIF(dropdown!Z$9:Z$19,all_inputs!A73)=1), dropdown!U$14, 1)</f>
        <v>1</v>
      </c>
      <c r="G73" s="5">
        <f>ui!B$4</f>
        <v>2025</v>
      </c>
      <c r="H73" s="5">
        <f>ui!B$5</f>
        <v>2050</v>
      </c>
      <c r="I73" s="5" t="s">
        <v>93</v>
      </c>
      <c r="J73" s="5" t="str">
        <f>VLOOKUP(ui!B$2,dropdown!M:O,3,FALSE)</f>
        <v>LIC</v>
      </c>
      <c r="K73" s="5"/>
      <c r="L73" s="5"/>
      <c r="M73" s="5"/>
      <c r="N73" s="5">
        <v>1</v>
      </c>
      <c r="O73" s="5"/>
      <c r="P73" s="5"/>
      <c r="Q73" s="5"/>
      <c r="R73" s="5">
        <v>1</v>
      </c>
      <c r="S73" s="5"/>
      <c r="T73" s="5"/>
      <c r="U73" s="5"/>
      <c r="V73" s="5"/>
      <c r="W73" s="5"/>
      <c r="X73" s="5"/>
      <c r="Y73" s="5"/>
      <c r="Z73" s="5"/>
      <c r="AA73" s="2" t="b">
        <f>VLOOKUP(all_inputs!E73,ui!A$29:B$33,2,FALSE)</f>
        <v>0</v>
      </c>
    </row>
    <row r="74" spans="1:27" hidden="1" x14ac:dyDescent="0.25">
      <c r="A74" t="s">
        <v>30</v>
      </c>
      <c r="B74">
        <f>IF(COUNTIF(dropdown!B$2:B$12,all_inputs!A74)=1,1,IF(COUNTIF(dropdown!C$2:C$4,all_inputs!A74)=1,2,IF(COUNTIF(dropdown!D$2:D$3,all_inputs!A74)=1,3,"?")))</f>
        <v>1</v>
      </c>
      <c r="C74" t="s">
        <v>13</v>
      </c>
      <c r="D74" t="s">
        <v>472</v>
      </c>
      <c r="E74" t="s">
        <v>459</v>
      </c>
      <c r="F74" s="4">
        <v>1</v>
      </c>
      <c r="G74" s="4">
        <f>ui!B$4</f>
        <v>2025</v>
      </c>
      <c r="H74" s="4">
        <f>ui!B$5</f>
        <v>2050</v>
      </c>
      <c r="I74" s="4" t="s">
        <v>93</v>
      </c>
      <c r="J74" s="4" t="str">
        <f>VLOOKUP(ui!B$2,dropdown!M:O,3,FALSE)</f>
        <v>LIC</v>
      </c>
      <c r="K74" s="4"/>
      <c r="L74" s="4"/>
      <c r="M74" s="4"/>
      <c r="N74" s="4">
        <v>1</v>
      </c>
      <c r="O74" s="4"/>
      <c r="P74" s="4"/>
      <c r="Q74" s="4"/>
      <c r="R74" s="4">
        <v>1</v>
      </c>
      <c r="S74" s="4"/>
      <c r="T74" s="4"/>
      <c r="U74" s="4"/>
      <c r="V74" s="4"/>
      <c r="W74" s="4"/>
      <c r="X74" s="4"/>
      <c r="Y74" s="4"/>
      <c r="Z74" s="4"/>
      <c r="AA74" t="b">
        <f>VLOOKUP(all_inputs!E74,ui!A$29:B$33,2,FALSE)</f>
        <v>0</v>
      </c>
    </row>
    <row r="75" spans="1:27" hidden="1" x14ac:dyDescent="0.25">
      <c r="A75" t="s">
        <v>30</v>
      </c>
      <c r="B75">
        <f>IF(COUNTIF(dropdown!B$2:B$12,all_inputs!A75)=1,1,IF(COUNTIF(dropdown!C$2:C$4,all_inputs!A75)=1,2,IF(COUNTIF(dropdown!D$2:D$3,all_inputs!A75)=1,3,"?")))</f>
        <v>1</v>
      </c>
      <c r="C75" t="s">
        <v>14</v>
      </c>
      <c r="D75" t="s">
        <v>466</v>
      </c>
      <c r="E75" t="s">
        <v>459</v>
      </c>
      <c r="F75">
        <f>IF(AND(all_inputs!E75=dropdown!Z$8, COUNTIF(dropdown!Z$9:Z$19,all_inputs!A75)=1), dropdown!U$10, 1)</f>
        <v>1</v>
      </c>
      <c r="G75" s="4">
        <f>ui!B$4</f>
        <v>2025</v>
      </c>
      <c r="H75" s="4">
        <f>ui!B$5</f>
        <v>2050</v>
      </c>
      <c r="I75" s="4" t="s">
        <v>93</v>
      </c>
      <c r="J75" s="4" t="str">
        <f>VLOOKUP(ui!B$2,dropdown!M:O,3,FALSE)</f>
        <v>LIC</v>
      </c>
      <c r="K75" s="4"/>
      <c r="L75" s="4"/>
      <c r="M75" s="4"/>
      <c r="N75" s="4">
        <v>1</v>
      </c>
      <c r="O75" s="4"/>
      <c r="P75" s="4"/>
      <c r="Q75" s="4"/>
      <c r="R75" s="4">
        <v>1</v>
      </c>
      <c r="S75" s="4"/>
      <c r="T75" s="4"/>
      <c r="U75" s="4"/>
      <c r="V75" s="4"/>
      <c r="W75" s="4"/>
      <c r="X75" s="4"/>
      <c r="Y75" s="4"/>
      <c r="Z75" s="4"/>
      <c r="AA75" t="b">
        <f>VLOOKUP(all_inputs!E75,ui!A$29:B$33,2,FALSE)</f>
        <v>0</v>
      </c>
    </row>
    <row r="76" spans="1:27" hidden="1" x14ac:dyDescent="0.25">
      <c r="A76" t="s">
        <v>30</v>
      </c>
      <c r="B76">
        <f>IF(COUNTIF(dropdown!B$2:B$12,all_inputs!A76)=1,1,IF(COUNTIF(dropdown!C$2:C$4,all_inputs!A76)=1,2,IF(COUNTIF(dropdown!D$2:D$3,all_inputs!A76)=1,3,"?")))</f>
        <v>1</v>
      </c>
      <c r="C76" t="s">
        <v>15</v>
      </c>
      <c r="D76" t="s">
        <v>466</v>
      </c>
      <c r="E76" t="s">
        <v>459</v>
      </c>
      <c r="F76" s="4">
        <v>1</v>
      </c>
      <c r="G76" s="4">
        <f>ui!B$4</f>
        <v>2025</v>
      </c>
      <c r="H76" s="4">
        <f>ui!B$5</f>
        <v>2050</v>
      </c>
      <c r="I76" s="4" t="s">
        <v>93</v>
      </c>
      <c r="J76" s="4" t="str">
        <f>VLOOKUP(ui!B$2,dropdown!M:O,3,FALSE)</f>
        <v>LIC</v>
      </c>
      <c r="K76" s="4"/>
      <c r="L76" s="4"/>
      <c r="M76" s="4"/>
      <c r="N76" s="4">
        <v>1</v>
      </c>
      <c r="O76" s="4"/>
      <c r="P76" s="4"/>
      <c r="Q76" s="4"/>
      <c r="R76" s="4">
        <v>1</v>
      </c>
      <c r="S76" s="4"/>
      <c r="T76" s="4"/>
      <c r="U76" s="4"/>
      <c r="V76" s="4"/>
      <c r="W76" s="4"/>
      <c r="X76" s="4"/>
      <c r="Y76" s="4"/>
      <c r="Z76" s="4"/>
      <c r="AA76" t="b">
        <f>VLOOKUP(all_inputs!E76,ui!A$29:B$33,2,FALSE)</f>
        <v>0</v>
      </c>
    </row>
    <row r="77" spans="1:27" hidden="1" x14ac:dyDescent="0.25">
      <c r="A77" t="s">
        <v>30</v>
      </c>
      <c r="B77">
        <f>IF(COUNTIF(dropdown!B$2:B$12,all_inputs!A77)=1,1,IF(COUNTIF(dropdown!C$2:C$4,all_inputs!A77)=1,2,IF(COUNTIF(dropdown!D$2:D$3,all_inputs!A77)=1,3,"?")))</f>
        <v>1</v>
      </c>
      <c r="C77" t="s">
        <v>16</v>
      </c>
      <c r="D77" t="s">
        <v>467</v>
      </c>
      <c r="E77" t="s">
        <v>459</v>
      </c>
      <c r="F77">
        <f>IF(AND(all_inputs!E77=dropdown!Z$8, COUNTIF(dropdown!Z$9:Z$19,all_inputs!A77)=1), dropdown!U$12, 1)</f>
        <v>1</v>
      </c>
      <c r="G77" s="4">
        <f>ui!B$4</f>
        <v>2025</v>
      </c>
      <c r="H77" s="4">
        <f>ui!B$5</f>
        <v>2050</v>
      </c>
      <c r="I77" s="4" t="s">
        <v>93</v>
      </c>
      <c r="J77" s="4" t="str">
        <f>VLOOKUP(ui!B$2,dropdown!M:O,3,FALSE)</f>
        <v>LIC</v>
      </c>
      <c r="K77" s="4"/>
      <c r="L77" s="4"/>
      <c r="M77" s="4"/>
      <c r="N77" s="4">
        <v>1</v>
      </c>
      <c r="O77" s="4"/>
      <c r="P77" s="4"/>
      <c r="Q77" s="4"/>
      <c r="R77" s="4">
        <v>1</v>
      </c>
      <c r="S77" s="4"/>
      <c r="T77" s="4"/>
      <c r="U77" s="4"/>
      <c r="V77" s="4"/>
      <c r="W77" s="4"/>
      <c r="X77" s="4"/>
      <c r="Y77" s="4"/>
      <c r="Z77" s="4"/>
      <c r="AA77" t="b">
        <f>VLOOKUP(all_inputs!E77,ui!A$29:B$33,2,FALSE)</f>
        <v>0</v>
      </c>
    </row>
    <row r="78" spans="1:27" hidden="1" x14ac:dyDescent="0.25">
      <c r="A78" t="s">
        <v>30</v>
      </c>
      <c r="B78">
        <f>IF(COUNTIF(dropdown!B$2:B$12,all_inputs!A78)=1,1,IF(COUNTIF(dropdown!C$2:C$4,all_inputs!A78)=1,2,IF(COUNTIF(dropdown!D$2:D$3,all_inputs!A78)=1,3,"?")))</f>
        <v>1</v>
      </c>
      <c r="C78" t="s">
        <v>17</v>
      </c>
      <c r="D78" t="s">
        <v>468</v>
      </c>
      <c r="E78" t="s">
        <v>459</v>
      </c>
      <c r="F78">
        <f>IF(AND(all_inputs!E78=dropdown!Z$8, COUNTIF(dropdown!Z$9:Z$19,all_inputs!A78)=1), dropdown!U$13, 1)</f>
        <v>1</v>
      </c>
      <c r="G78" s="4">
        <f>ui!B$4</f>
        <v>2025</v>
      </c>
      <c r="H78" s="4">
        <f>ui!B$5</f>
        <v>2050</v>
      </c>
      <c r="I78" s="4" t="s">
        <v>93</v>
      </c>
      <c r="J78" s="4" t="str">
        <f>VLOOKUP(ui!B$2,dropdown!M:O,3,FALSE)</f>
        <v>LIC</v>
      </c>
      <c r="K78" s="4"/>
      <c r="L78" s="4"/>
      <c r="M78" s="4"/>
      <c r="N78" s="4">
        <v>1</v>
      </c>
      <c r="O78" s="4"/>
      <c r="P78" s="4"/>
      <c r="Q78" s="4"/>
      <c r="R78" s="4">
        <v>1</v>
      </c>
      <c r="S78" s="4"/>
      <c r="T78" s="4"/>
      <c r="U78" s="4"/>
      <c r="V78" s="4"/>
      <c r="W78" s="4"/>
      <c r="X78" s="4"/>
      <c r="Y78" s="4"/>
      <c r="Z78" s="4"/>
      <c r="AA78" t="b">
        <f>VLOOKUP(all_inputs!E78,ui!A$29:B$33,2,FALSE)</f>
        <v>0</v>
      </c>
    </row>
    <row r="79" spans="1:27" hidden="1" x14ac:dyDescent="0.25">
      <c r="A79" s="2" t="s">
        <v>30</v>
      </c>
      <c r="B79" s="2">
        <f>IF(COUNTIF(dropdown!B$2:B$12,all_inputs!A79)=1,1,IF(COUNTIF(dropdown!C$2:C$4,all_inputs!A79)=1,2,IF(COUNTIF(dropdown!D$2:D$3,all_inputs!A79)=1,3,"?")))</f>
        <v>1</v>
      </c>
      <c r="C79" s="2" t="s">
        <v>18</v>
      </c>
      <c r="D79" s="2" t="s">
        <v>469</v>
      </c>
      <c r="E79" s="2" t="s">
        <v>459</v>
      </c>
      <c r="F79" s="2">
        <f>IF(AND(all_inputs!E79=dropdown!Z$8, COUNTIF(dropdown!Z$9:Z$19,all_inputs!A79)=1), dropdown!U$14, 1)</f>
        <v>1</v>
      </c>
      <c r="G79" s="5">
        <f>ui!B$4</f>
        <v>2025</v>
      </c>
      <c r="H79" s="5">
        <f>ui!B$5</f>
        <v>2050</v>
      </c>
      <c r="I79" s="5" t="s">
        <v>93</v>
      </c>
      <c r="J79" s="5" t="str">
        <f>VLOOKUP(ui!B$2,dropdown!M:O,3,FALSE)</f>
        <v>LIC</v>
      </c>
      <c r="K79" s="5"/>
      <c r="L79" s="5"/>
      <c r="M79" s="5"/>
      <c r="N79" s="5">
        <v>1</v>
      </c>
      <c r="O79" s="5"/>
      <c r="P79" s="5"/>
      <c r="Q79" s="5"/>
      <c r="R79" s="5">
        <v>1</v>
      </c>
      <c r="S79" s="5"/>
      <c r="T79" s="5"/>
      <c r="U79" s="5"/>
      <c r="V79" s="5"/>
      <c r="W79" s="5"/>
      <c r="X79" s="5"/>
      <c r="Y79" s="5"/>
      <c r="Z79" s="5"/>
      <c r="AA79" s="2" t="b">
        <f>VLOOKUP(all_inputs!E79,ui!A$29:B$33,2,FALSE)</f>
        <v>0</v>
      </c>
    </row>
    <row r="80" spans="1:27" hidden="1" x14ac:dyDescent="0.25">
      <c r="A80" t="s">
        <v>31</v>
      </c>
      <c r="B80">
        <f>IF(COUNTIF(dropdown!B$2:B$12,all_inputs!A80)=1,1,IF(COUNTIF(dropdown!C$2:C$4,all_inputs!A80)=1,2,IF(COUNTIF(dropdown!D$2:D$3,all_inputs!A80)=1,3,"?")))</f>
        <v>1</v>
      </c>
      <c r="C80" t="s">
        <v>13</v>
      </c>
      <c r="D80" t="s">
        <v>472</v>
      </c>
      <c r="E80" t="s">
        <v>459</v>
      </c>
      <c r="F80" s="4">
        <v>1</v>
      </c>
      <c r="G80" s="4">
        <f>ui!B$4</f>
        <v>2025</v>
      </c>
      <c r="H80" s="4">
        <f>ui!B$5</f>
        <v>2050</v>
      </c>
      <c r="I80" s="4" t="s">
        <v>93</v>
      </c>
      <c r="J80" s="4" t="str">
        <f>VLOOKUP(ui!B$2,dropdown!M:O,3,FALSE)</f>
        <v>LIC</v>
      </c>
      <c r="K80" s="4"/>
      <c r="L80" s="4"/>
      <c r="M80" s="4"/>
      <c r="N80" s="4">
        <v>1</v>
      </c>
      <c r="O80" s="4"/>
      <c r="P80" s="4"/>
      <c r="Q80" s="4"/>
      <c r="R80" s="4">
        <v>1</v>
      </c>
      <c r="S80" s="4"/>
      <c r="T80" s="4"/>
      <c r="U80" s="4"/>
      <c r="V80" s="4"/>
      <c r="W80" s="4"/>
      <c r="X80" s="4"/>
      <c r="Y80" s="4"/>
      <c r="Z80" s="4"/>
      <c r="AA80" t="b">
        <f>VLOOKUP(all_inputs!E80,ui!A$29:B$33,2,FALSE)</f>
        <v>0</v>
      </c>
    </row>
    <row r="81" spans="1:27" hidden="1" x14ac:dyDescent="0.25">
      <c r="A81" t="s">
        <v>31</v>
      </c>
      <c r="B81">
        <f>IF(COUNTIF(dropdown!B$2:B$12,all_inputs!A81)=1,1,IF(COUNTIF(dropdown!C$2:C$4,all_inputs!A81)=1,2,IF(COUNTIF(dropdown!D$2:D$3,all_inputs!A81)=1,3,"?")))</f>
        <v>1</v>
      </c>
      <c r="C81" t="s">
        <v>14</v>
      </c>
      <c r="D81" t="s">
        <v>466</v>
      </c>
      <c r="E81" t="s">
        <v>459</v>
      </c>
      <c r="F81">
        <f>IF(AND(all_inputs!E81=dropdown!Z$8, COUNTIF(dropdown!Z$9:Z$19,all_inputs!A81)=1), dropdown!U$10, 1)</f>
        <v>1</v>
      </c>
      <c r="G81" s="4">
        <f>ui!B$4</f>
        <v>2025</v>
      </c>
      <c r="H81" s="4">
        <f>ui!B$5</f>
        <v>2050</v>
      </c>
      <c r="I81" s="4" t="s">
        <v>93</v>
      </c>
      <c r="J81" s="4" t="str">
        <f>VLOOKUP(ui!B$2,dropdown!M:O,3,FALSE)</f>
        <v>LIC</v>
      </c>
      <c r="K81" s="4"/>
      <c r="L81" s="4"/>
      <c r="M81" s="4"/>
      <c r="N81" s="4">
        <v>1</v>
      </c>
      <c r="O81" s="4"/>
      <c r="P81" s="4"/>
      <c r="Q81" s="4"/>
      <c r="R81" s="4">
        <v>1</v>
      </c>
      <c r="S81" s="4"/>
      <c r="T81" s="4"/>
      <c r="U81" s="4"/>
      <c r="V81" s="4"/>
      <c r="W81" s="4"/>
      <c r="X81" s="4"/>
      <c r="Y81" s="4"/>
      <c r="Z81" s="4"/>
      <c r="AA81" t="b">
        <f>VLOOKUP(all_inputs!E81,ui!A$29:B$33,2,FALSE)</f>
        <v>0</v>
      </c>
    </row>
    <row r="82" spans="1:27" hidden="1" x14ac:dyDescent="0.25">
      <c r="A82" t="s">
        <v>31</v>
      </c>
      <c r="B82">
        <f>IF(COUNTIF(dropdown!B$2:B$12,all_inputs!A82)=1,1,IF(COUNTIF(dropdown!C$2:C$4,all_inputs!A82)=1,2,IF(COUNTIF(dropdown!D$2:D$3,all_inputs!A82)=1,3,"?")))</f>
        <v>1</v>
      </c>
      <c r="C82" t="s">
        <v>15</v>
      </c>
      <c r="D82" t="s">
        <v>466</v>
      </c>
      <c r="E82" t="s">
        <v>459</v>
      </c>
      <c r="F82" s="4">
        <v>1</v>
      </c>
      <c r="G82" s="4">
        <f>ui!B$4</f>
        <v>2025</v>
      </c>
      <c r="H82" s="4">
        <f>ui!B$5</f>
        <v>2050</v>
      </c>
      <c r="I82" s="4" t="s">
        <v>93</v>
      </c>
      <c r="J82" s="4" t="str">
        <f>VLOOKUP(ui!B$2,dropdown!M:O,3,FALSE)</f>
        <v>LIC</v>
      </c>
      <c r="K82" s="4"/>
      <c r="L82" s="4"/>
      <c r="M82" s="4"/>
      <c r="N82" s="4">
        <v>1</v>
      </c>
      <c r="O82" s="4"/>
      <c r="P82" s="4"/>
      <c r="Q82" s="4"/>
      <c r="R82" s="4">
        <v>1</v>
      </c>
      <c r="S82" s="4"/>
      <c r="T82" s="4"/>
      <c r="U82" s="4"/>
      <c r="V82" s="4"/>
      <c r="W82" s="4"/>
      <c r="X82" s="4"/>
      <c r="Y82" s="4"/>
      <c r="Z82" s="4"/>
      <c r="AA82" t="b">
        <f>VLOOKUP(all_inputs!E82,ui!A$29:B$33,2,FALSE)</f>
        <v>0</v>
      </c>
    </row>
    <row r="83" spans="1:27" hidden="1" x14ac:dyDescent="0.25">
      <c r="A83" t="s">
        <v>31</v>
      </c>
      <c r="B83">
        <f>IF(COUNTIF(dropdown!B$2:B$12,all_inputs!A83)=1,1,IF(COUNTIF(dropdown!C$2:C$4,all_inputs!A83)=1,2,IF(COUNTIF(dropdown!D$2:D$3,all_inputs!A83)=1,3,"?")))</f>
        <v>1</v>
      </c>
      <c r="C83" t="s">
        <v>16</v>
      </c>
      <c r="D83" t="s">
        <v>467</v>
      </c>
      <c r="E83" t="s">
        <v>459</v>
      </c>
      <c r="F83">
        <f>IF(AND(all_inputs!E83=dropdown!Z$8, COUNTIF(dropdown!Z$9:Z$19,all_inputs!A83)=1), dropdown!U$12, 1)</f>
        <v>1</v>
      </c>
      <c r="G83" s="4">
        <f>ui!B$4</f>
        <v>2025</v>
      </c>
      <c r="H83" s="4">
        <f>ui!B$5</f>
        <v>2050</v>
      </c>
      <c r="I83" s="4" t="s">
        <v>93</v>
      </c>
      <c r="J83" s="4" t="str">
        <f>VLOOKUP(ui!B$2,dropdown!M:O,3,FALSE)</f>
        <v>LIC</v>
      </c>
      <c r="K83" s="4"/>
      <c r="L83" s="4"/>
      <c r="M83" s="4"/>
      <c r="N83" s="4">
        <v>1</v>
      </c>
      <c r="O83" s="4"/>
      <c r="P83" s="4"/>
      <c r="Q83" s="4"/>
      <c r="R83" s="4">
        <v>1</v>
      </c>
      <c r="S83" s="4"/>
      <c r="T83" s="4"/>
      <c r="U83" s="4"/>
      <c r="V83" s="4"/>
      <c r="W83" s="4"/>
      <c r="X83" s="4"/>
      <c r="Y83" s="4"/>
      <c r="Z83" s="4"/>
      <c r="AA83" t="b">
        <f>VLOOKUP(all_inputs!E83,ui!A$29:B$33,2,FALSE)</f>
        <v>0</v>
      </c>
    </row>
    <row r="84" spans="1:27" hidden="1" x14ac:dyDescent="0.25">
      <c r="A84" t="s">
        <v>31</v>
      </c>
      <c r="B84">
        <f>IF(COUNTIF(dropdown!B$2:B$12,all_inputs!A84)=1,1,IF(COUNTIF(dropdown!C$2:C$4,all_inputs!A84)=1,2,IF(COUNTIF(dropdown!D$2:D$3,all_inputs!A84)=1,3,"?")))</f>
        <v>1</v>
      </c>
      <c r="C84" t="s">
        <v>17</v>
      </c>
      <c r="D84" t="s">
        <v>468</v>
      </c>
      <c r="E84" t="s">
        <v>459</v>
      </c>
      <c r="F84">
        <f>IF(AND(all_inputs!E84=dropdown!Z$8, COUNTIF(dropdown!Z$9:Z$19,all_inputs!A84)=1), dropdown!U$13, 1)</f>
        <v>1</v>
      </c>
      <c r="G84" s="4">
        <f>ui!B$4</f>
        <v>2025</v>
      </c>
      <c r="H84" s="4">
        <f>ui!B$5</f>
        <v>2050</v>
      </c>
      <c r="I84" s="4" t="s">
        <v>93</v>
      </c>
      <c r="J84" s="4" t="str">
        <f>VLOOKUP(ui!B$2,dropdown!M:O,3,FALSE)</f>
        <v>LIC</v>
      </c>
      <c r="K84" s="4"/>
      <c r="L84" s="4"/>
      <c r="M84" s="4"/>
      <c r="N84" s="4">
        <v>1</v>
      </c>
      <c r="O84" s="4"/>
      <c r="P84" s="4"/>
      <c r="Q84" s="4"/>
      <c r="R84" s="4">
        <v>1</v>
      </c>
      <c r="S84" s="4"/>
      <c r="T84" s="4"/>
      <c r="U84" s="4"/>
      <c r="V84" s="4"/>
      <c r="W84" s="4"/>
      <c r="X84" s="4"/>
      <c r="Y84" s="4"/>
      <c r="Z84" s="4"/>
      <c r="AA84" t="b">
        <f>VLOOKUP(all_inputs!E84,ui!A$29:B$33,2,FALSE)</f>
        <v>0</v>
      </c>
    </row>
    <row r="85" spans="1:27" hidden="1" x14ac:dyDescent="0.25">
      <c r="A85" s="2" t="s">
        <v>31</v>
      </c>
      <c r="B85" s="2">
        <f>IF(COUNTIF(dropdown!B$2:B$12,all_inputs!A85)=1,1,IF(COUNTIF(dropdown!C$2:C$4,all_inputs!A85)=1,2,IF(COUNTIF(dropdown!D$2:D$3,all_inputs!A85)=1,3,"?")))</f>
        <v>1</v>
      </c>
      <c r="C85" s="2" t="s">
        <v>18</v>
      </c>
      <c r="D85" s="2" t="s">
        <v>469</v>
      </c>
      <c r="E85" s="2" t="s">
        <v>459</v>
      </c>
      <c r="F85" s="2">
        <f>IF(AND(all_inputs!E85=dropdown!Z$8, COUNTIF(dropdown!Z$9:Z$19,all_inputs!A85)=1), dropdown!U$14, 1)</f>
        <v>1</v>
      </c>
      <c r="G85" s="5">
        <f>ui!B$4</f>
        <v>2025</v>
      </c>
      <c r="H85" s="5">
        <f>ui!B$5</f>
        <v>2050</v>
      </c>
      <c r="I85" s="5" t="s">
        <v>93</v>
      </c>
      <c r="J85" s="5" t="str">
        <f>VLOOKUP(ui!B$2,dropdown!M:O,3,FALSE)</f>
        <v>LIC</v>
      </c>
      <c r="K85" s="5"/>
      <c r="L85" s="5"/>
      <c r="M85" s="5"/>
      <c r="N85" s="5">
        <v>1</v>
      </c>
      <c r="O85" s="5"/>
      <c r="P85" s="5"/>
      <c r="Q85" s="5"/>
      <c r="R85" s="5">
        <v>1</v>
      </c>
      <c r="S85" s="5"/>
      <c r="T85" s="5"/>
      <c r="U85" s="5"/>
      <c r="V85" s="5"/>
      <c r="W85" s="5"/>
      <c r="X85" s="5"/>
      <c r="Y85" s="5"/>
      <c r="Z85" s="5"/>
      <c r="AA85" s="2" t="b">
        <f>VLOOKUP(all_inputs!E85,ui!A$29:B$33,2,FALSE)</f>
        <v>0</v>
      </c>
    </row>
    <row r="86" spans="1:27" hidden="1" x14ac:dyDescent="0.25">
      <c r="A86" t="s">
        <v>32</v>
      </c>
      <c r="B86">
        <f>IF(COUNTIF(dropdown!B$2:B$12,all_inputs!A86)=1,1,IF(COUNTIF(dropdown!C$2:C$4,all_inputs!A86)=1,2,IF(COUNTIF(dropdown!D$2:D$3,all_inputs!A86)=1,3,"?")))</f>
        <v>2</v>
      </c>
      <c r="C86" t="s">
        <v>13</v>
      </c>
      <c r="D86" t="s">
        <v>472</v>
      </c>
      <c r="E86" t="s">
        <v>459</v>
      </c>
      <c r="F86" s="4">
        <v>1</v>
      </c>
      <c r="G86" s="4">
        <f>ui!B$4</f>
        <v>2025</v>
      </c>
      <c r="H86" s="4">
        <f>ui!B$5</f>
        <v>2050</v>
      </c>
      <c r="I86" s="4" t="s">
        <v>93</v>
      </c>
      <c r="J86" s="4" t="str">
        <f>VLOOKUP(ui!B$2,dropdown!M:O,3,FALSE)</f>
        <v>LIC</v>
      </c>
      <c r="K86" s="4"/>
      <c r="L86" s="4"/>
      <c r="M86" s="4"/>
      <c r="N86" s="4">
        <v>1</v>
      </c>
      <c r="O86" s="4"/>
      <c r="P86" s="4"/>
      <c r="Q86" s="4"/>
      <c r="R86" s="4">
        <v>1</v>
      </c>
      <c r="S86" s="4"/>
      <c r="T86" s="4"/>
      <c r="U86" s="4"/>
      <c r="V86" s="4"/>
      <c r="W86" s="4"/>
      <c r="X86" s="4"/>
      <c r="Y86" s="4"/>
      <c r="Z86" s="4"/>
      <c r="AA86" t="b">
        <f>VLOOKUP(all_inputs!E86,ui!A$29:B$33,2,FALSE)</f>
        <v>0</v>
      </c>
    </row>
    <row r="87" spans="1:27" hidden="1" x14ac:dyDescent="0.25">
      <c r="A87" t="s">
        <v>32</v>
      </c>
      <c r="B87">
        <f>IF(COUNTIF(dropdown!B$2:B$12,all_inputs!A87)=1,1,IF(COUNTIF(dropdown!C$2:C$4,all_inputs!A87)=1,2,IF(COUNTIF(dropdown!D$2:D$3,all_inputs!A87)=1,3,"?")))</f>
        <v>2</v>
      </c>
      <c r="C87" t="s">
        <v>14</v>
      </c>
      <c r="D87" t="s">
        <v>466</v>
      </c>
      <c r="E87" t="s">
        <v>459</v>
      </c>
      <c r="F87">
        <f>IF(AND(all_inputs!E87=dropdown!Z$8, COUNTIF(dropdown!Z$9:Z$19,all_inputs!A87)=1), dropdown!U$10, 1)</f>
        <v>1</v>
      </c>
      <c r="G87" s="4">
        <f>ui!B$4</f>
        <v>2025</v>
      </c>
      <c r="H87" s="4">
        <f>ui!B$5</f>
        <v>2050</v>
      </c>
      <c r="I87" s="4" t="s">
        <v>93</v>
      </c>
      <c r="J87" s="4" t="str">
        <f>VLOOKUP(ui!B$2,dropdown!M:O,3,FALSE)</f>
        <v>LIC</v>
      </c>
      <c r="K87" s="4"/>
      <c r="L87" s="4"/>
      <c r="M87" s="4"/>
      <c r="N87" s="4">
        <v>1</v>
      </c>
      <c r="O87" s="4"/>
      <c r="P87" s="4"/>
      <c r="Q87" s="4"/>
      <c r="R87" s="4">
        <v>1</v>
      </c>
      <c r="S87" s="4"/>
      <c r="T87" s="4"/>
      <c r="U87" s="4"/>
      <c r="V87" s="4"/>
      <c r="W87" s="4"/>
      <c r="X87" s="4"/>
      <c r="Y87" s="4"/>
      <c r="Z87" s="4"/>
      <c r="AA87" t="b">
        <f>VLOOKUP(all_inputs!E87,ui!A$29:B$33,2,FALSE)</f>
        <v>0</v>
      </c>
    </row>
    <row r="88" spans="1:27" hidden="1" x14ac:dyDescent="0.25">
      <c r="A88" t="s">
        <v>32</v>
      </c>
      <c r="B88">
        <f>IF(COUNTIF(dropdown!B$2:B$12,all_inputs!A88)=1,1,IF(COUNTIF(dropdown!C$2:C$4,all_inputs!A88)=1,2,IF(COUNTIF(dropdown!D$2:D$3,all_inputs!A88)=1,3,"?")))</f>
        <v>2</v>
      </c>
      <c r="C88" t="s">
        <v>15</v>
      </c>
      <c r="D88" t="s">
        <v>466</v>
      </c>
      <c r="E88" t="s">
        <v>459</v>
      </c>
      <c r="F88" s="4">
        <v>1</v>
      </c>
      <c r="G88" s="4">
        <f>ui!B$4</f>
        <v>2025</v>
      </c>
      <c r="H88" s="4">
        <f>ui!B$5</f>
        <v>2050</v>
      </c>
      <c r="I88" s="4" t="s">
        <v>93</v>
      </c>
      <c r="J88" s="4" t="str">
        <f>VLOOKUP(ui!B$2,dropdown!M:O,3,FALSE)</f>
        <v>LIC</v>
      </c>
      <c r="K88" s="4"/>
      <c r="L88" s="4"/>
      <c r="M88" s="4"/>
      <c r="N88" s="4">
        <v>1</v>
      </c>
      <c r="O88" s="4"/>
      <c r="P88" s="4"/>
      <c r="Q88" s="4"/>
      <c r="R88" s="4">
        <v>1</v>
      </c>
      <c r="S88" s="4"/>
      <c r="T88" s="4"/>
      <c r="U88" s="4"/>
      <c r="V88" s="4"/>
      <c r="W88" s="4"/>
      <c r="X88" s="4"/>
      <c r="Y88" s="4"/>
      <c r="Z88" s="4"/>
      <c r="AA88" t="b">
        <f>VLOOKUP(all_inputs!E88,ui!A$29:B$33,2,FALSE)</f>
        <v>0</v>
      </c>
    </row>
    <row r="89" spans="1:27" hidden="1" x14ac:dyDescent="0.25">
      <c r="A89" t="s">
        <v>32</v>
      </c>
      <c r="B89">
        <f>IF(COUNTIF(dropdown!B$2:B$12,all_inputs!A89)=1,1,IF(COUNTIF(dropdown!C$2:C$4,all_inputs!A89)=1,2,IF(COUNTIF(dropdown!D$2:D$3,all_inputs!A89)=1,3,"?")))</f>
        <v>2</v>
      </c>
      <c r="C89" t="s">
        <v>16</v>
      </c>
      <c r="D89" t="s">
        <v>467</v>
      </c>
      <c r="E89" t="s">
        <v>459</v>
      </c>
      <c r="F89">
        <f>IF(AND(all_inputs!E89=dropdown!Z$8, COUNTIF(dropdown!Z$9:Z$19,all_inputs!A89)=1), dropdown!U$12, 1)</f>
        <v>1</v>
      </c>
      <c r="G89" s="4">
        <f>ui!B$4</f>
        <v>2025</v>
      </c>
      <c r="H89" s="4">
        <f>ui!B$5</f>
        <v>2050</v>
      </c>
      <c r="I89" s="4" t="s">
        <v>93</v>
      </c>
      <c r="J89" s="4" t="str">
        <f>VLOOKUP(ui!B$2,dropdown!M:O,3,FALSE)</f>
        <v>LIC</v>
      </c>
      <c r="K89" s="4"/>
      <c r="L89" s="4"/>
      <c r="M89" s="4"/>
      <c r="N89" s="4">
        <v>1</v>
      </c>
      <c r="O89" s="4"/>
      <c r="P89" s="4"/>
      <c r="Q89" s="4"/>
      <c r="R89" s="4">
        <v>1</v>
      </c>
      <c r="S89" s="4"/>
      <c r="T89" s="4"/>
      <c r="U89" s="4"/>
      <c r="V89" s="4"/>
      <c r="W89" s="4"/>
      <c r="X89" s="4"/>
      <c r="Y89" s="4"/>
      <c r="Z89" s="4"/>
      <c r="AA89" t="b">
        <f>VLOOKUP(all_inputs!E89,ui!A$29:B$33,2,FALSE)</f>
        <v>0</v>
      </c>
    </row>
    <row r="90" spans="1:27" hidden="1" x14ac:dyDescent="0.25">
      <c r="A90" t="s">
        <v>32</v>
      </c>
      <c r="B90">
        <f>IF(COUNTIF(dropdown!B$2:B$12,all_inputs!A90)=1,1,IF(COUNTIF(dropdown!C$2:C$4,all_inputs!A90)=1,2,IF(COUNTIF(dropdown!D$2:D$3,all_inputs!A90)=1,3,"?")))</f>
        <v>2</v>
      </c>
      <c r="C90" t="s">
        <v>17</v>
      </c>
      <c r="D90" t="s">
        <v>468</v>
      </c>
      <c r="E90" t="s">
        <v>459</v>
      </c>
      <c r="F90">
        <f>IF(AND(all_inputs!E90=dropdown!Z$8, COUNTIF(dropdown!Z$9:Z$19,all_inputs!A90)=1), dropdown!U$13, 1)</f>
        <v>1</v>
      </c>
      <c r="G90" s="4">
        <f>ui!B$4</f>
        <v>2025</v>
      </c>
      <c r="H90" s="4">
        <f>ui!B$5</f>
        <v>2050</v>
      </c>
      <c r="I90" s="4" t="s">
        <v>93</v>
      </c>
      <c r="J90" s="4" t="str">
        <f>VLOOKUP(ui!B$2,dropdown!M:O,3,FALSE)</f>
        <v>LIC</v>
      </c>
      <c r="K90" s="4"/>
      <c r="L90" s="4"/>
      <c r="M90" s="4"/>
      <c r="N90" s="4">
        <v>1</v>
      </c>
      <c r="O90" s="4"/>
      <c r="P90" s="4"/>
      <c r="Q90" s="4"/>
      <c r="R90" s="4">
        <v>1</v>
      </c>
      <c r="S90" s="4"/>
      <c r="T90" s="4"/>
      <c r="U90" s="4"/>
      <c r="V90" s="4"/>
      <c r="W90" s="4"/>
      <c r="X90" s="4"/>
      <c r="Y90" s="4"/>
      <c r="Z90" s="4"/>
      <c r="AA90" t="b">
        <f>VLOOKUP(all_inputs!E90,ui!A$29:B$33,2,FALSE)</f>
        <v>0</v>
      </c>
    </row>
    <row r="91" spans="1:27" hidden="1" x14ac:dyDescent="0.25">
      <c r="A91" s="2" t="s">
        <v>32</v>
      </c>
      <c r="B91" s="2">
        <f>IF(COUNTIF(dropdown!B$2:B$12,all_inputs!A91)=1,1,IF(COUNTIF(dropdown!C$2:C$4,all_inputs!A91)=1,2,IF(COUNTIF(dropdown!D$2:D$3,all_inputs!A91)=1,3,"?")))</f>
        <v>2</v>
      </c>
      <c r="C91" s="2" t="s">
        <v>18</v>
      </c>
      <c r="D91" s="2" t="s">
        <v>469</v>
      </c>
      <c r="E91" s="2" t="s">
        <v>459</v>
      </c>
      <c r="F91" s="2">
        <f>IF(AND(all_inputs!E91=dropdown!Z$8, COUNTIF(dropdown!Z$9:Z$19,all_inputs!A91)=1), dropdown!U$14, 1)</f>
        <v>1</v>
      </c>
      <c r="G91" s="5">
        <f>ui!B$4</f>
        <v>2025</v>
      </c>
      <c r="H91" s="5">
        <f>ui!B$5</f>
        <v>2050</v>
      </c>
      <c r="I91" s="5" t="s">
        <v>93</v>
      </c>
      <c r="J91" s="5" t="str">
        <f>VLOOKUP(ui!B$2,dropdown!M:O,3,FALSE)</f>
        <v>LIC</v>
      </c>
      <c r="K91" s="5"/>
      <c r="L91" s="5"/>
      <c r="M91" s="5"/>
      <c r="N91" s="5">
        <v>1</v>
      </c>
      <c r="O91" s="5"/>
      <c r="P91" s="5"/>
      <c r="Q91" s="5"/>
      <c r="R91" s="5">
        <v>1</v>
      </c>
      <c r="S91" s="5"/>
      <c r="T91" s="5"/>
      <c r="U91" s="5"/>
      <c r="V91" s="5"/>
      <c r="W91" s="5"/>
      <c r="X91" s="5"/>
      <c r="Y91" s="5"/>
      <c r="Z91" s="5"/>
      <c r="AA91" s="2" t="b">
        <f>VLOOKUP(all_inputs!E91,ui!A$29:B$33,2,FALSE)</f>
        <v>0</v>
      </c>
    </row>
    <row r="92" spans="1:27" hidden="1" x14ac:dyDescent="0.25">
      <c r="A92" t="s">
        <v>33</v>
      </c>
      <c r="B92">
        <f>IF(COUNTIF(dropdown!B$2:B$12,all_inputs!A92)=1,1,IF(COUNTIF(dropdown!C$2:C$4,all_inputs!A92)=1,2,IF(COUNTIF(dropdown!D$2:D$3,all_inputs!A92)=1,3,"?")))</f>
        <v>1</v>
      </c>
      <c r="C92" t="s">
        <v>13</v>
      </c>
      <c r="D92" t="s">
        <v>472</v>
      </c>
      <c r="E92" t="s">
        <v>459</v>
      </c>
      <c r="F92" s="4">
        <v>1</v>
      </c>
      <c r="G92" s="4">
        <f>ui!B$4</f>
        <v>2025</v>
      </c>
      <c r="H92" s="4">
        <f>ui!B$5</f>
        <v>2050</v>
      </c>
      <c r="I92" s="4" t="s">
        <v>93</v>
      </c>
      <c r="J92" s="4" t="str">
        <f>VLOOKUP(ui!B$2,dropdown!M:O,3,FALSE)</f>
        <v>LIC</v>
      </c>
      <c r="K92" s="4"/>
      <c r="L92" s="4"/>
      <c r="M92" s="4"/>
      <c r="N92" s="4">
        <v>1</v>
      </c>
      <c r="O92" s="4"/>
      <c r="P92" s="4"/>
      <c r="Q92" s="4"/>
      <c r="R92" s="4">
        <v>1</v>
      </c>
      <c r="S92" s="4"/>
      <c r="T92" s="4"/>
      <c r="U92" s="4"/>
      <c r="V92" s="4"/>
      <c r="W92" s="4"/>
      <c r="X92" s="4"/>
      <c r="Y92" s="4"/>
      <c r="Z92" s="4"/>
      <c r="AA92" t="b">
        <f>VLOOKUP(all_inputs!E92,ui!A$29:B$33,2,FALSE)</f>
        <v>0</v>
      </c>
    </row>
    <row r="93" spans="1:27" hidden="1" x14ac:dyDescent="0.25">
      <c r="A93" t="s">
        <v>33</v>
      </c>
      <c r="B93">
        <f>IF(COUNTIF(dropdown!B$2:B$12,all_inputs!A93)=1,1,IF(COUNTIF(dropdown!C$2:C$4,all_inputs!A93)=1,2,IF(COUNTIF(dropdown!D$2:D$3,all_inputs!A93)=1,3,"?")))</f>
        <v>1</v>
      </c>
      <c r="C93" t="s">
        <v>14</v>
      </c>
      <c r="D93" t="s">
        <v>466</v>
      </c>
      <c r="E93" t="s">
        <v>459</v>
      </c>
      <c r="F93">
        <f>IF(AND(all_inputs!E93=dropdown!Z$8, COUNTIF(dropdown!Z$9:Z$19,all_inputs!A93)=1), dropdown!U$10, 1)</f>
        <v>1</v>
      </c>
      <c r="G93" s="4">
        <f>ui!B$4</f>
        <v>2025</v>
      </c>
      <c r="H93" s="4">
        <f>ui!B$5</f>
        <v>2050</v>
      </c>
      <c r="I93" s="4" t="s">
        <v>93</v>
      </c>
      <c r="J93" s="4" t="str">
        <f>VLOOKUP(ui!B$2,dropdown!M:O,3,FALSE)</f>
        <v>LIC</v>
      </c>
      <c r="K93" s="4"/>
      <c r="L93" s="4"/>
      <c r="M93" s="4"/>
      <c r="N93" s="4">
        <v>1</v>
      </c>
      <c r="O93" s="4"/>
      <c r="P93" s="4"/>
      <c r="Q93" s="4"/>
      <c r="R93" s="4">
        <v>1</v>
      </c>
      <c r="S93" s="4"/>
      <c r="T93" s="4"/>
      <c r="U93" s="4"/>
      <c r="V93" s="4"/>
      <c r="W93" s="4"/>
      <c r="X93" s="4"/>
      <c r="Y93" s="4"/>
      <c r="Z93" s="4"/>
      <c r="AA93" t="b">
        <f>VLOOKUP(all_inputs!E93,ui!A$29:B$33,2,FALSE)</f>
        <v>0</v>
      </c>
    </row>
    <row r="94" spans="1:27" hidden="1" x14ac:dyDescent="0.25">
      <c r="A94" t="s">
        <v>33</v>
      </c>
      <c r="B94">
        <f>IF(COUNTIF(dropdown!B$2:B$12,all_inputs!A94)=1,1,IF(COUNTIF(dropdown!C$2:C$4,all_inputs!A94)=1,2,IF(COUNTIF(dropdown!D$2:D$3,all_inputs!A94)=1,3,"?")))</f>
        <v>1</v>
      </c>
      <c r="C94" t="s">
        <v>15</v>
      </c>
      <c r="D94" t="s">
        <v>466</v>
      </c>
      <c r="E94" t="s">
        <v>459</v>
      </c>
      <c r="F94" s="4">
        <v>1</v>
      </c>
      <c r="G94" s="4">
        <f>ui!B$4</f>
        <v>2025</v>
      </c>
      <c r="H94" s="4">
        <f>ui!B$5</f>
        <v>2050</v>
      </c>
      <c r="I94" s="4" t="s">
        <v>93</v>
      </c>
      <c r="J94" s="4" t="str">
        <f>VLOOKUP(ui!B$2,dropdown!M:O,3,FALSE)</f>
        <v>LIC</v>
      </c>
      <c r="K94" s="4"/>
      <c r="L94" s="4"/>
      <c r="M94" s="4"/>
      <c r="N94" s="4">
        <v>1</v>
      </c>
      <c r="O94" s="4"/>
      <c r="P94" s="4"/>
      <c r="Q94" s="4"/>
      <c r="R94" s="4">
        <v>1</v>
      </c>
      <c r="S94" s="4"/>
      <c r="T94" s="4"/>
      <c r="U94" s="4"/>
      <c r="V94" s="4"/>
      <c r="W94" s="4"/>
      <c r="X94" s="4"/>
      <c r="Y94" s="4"/>
      <c r="Z94" s="4"/>
      <c r="AA94" t="b">
        <f>VLOOKUP(all_inputs!E94,ui!A$29:B$33,2,FALSE)</f>
        <v>0</v>
      </c>
    </row>
    <row r="95" spans="1:27" hidden="1" x14ac:dyDescent="0.25">
      <c r="A95" t="s">
        <v>33</v>
      </c>
      <c r="B95">
        <f>IF(COUNTIF(dropdown!B$2:B$12,all_inputs!A95)=1,1,IF(COUNTIF(dropdown!C$2:C$4,all_inputs!A95)=1,2,IF(COUNTIF(dropdown!D$2:D$3,all_inputs!A95)=1,3,"?")))</f>
        <v>1</v>
      </c>
      <c r="C95" t="s">
        <v>16</v>
      </c>
      <c r="D95" t="s">
        <v>467</v>
      </c>
      <c r="E95" t="s">
        <v>459</v>
      </c>
      <c r="F95">
        <f>IF(AND(all_inputs!E95=dropdown!Z$8, COUNTIF(dropdown!Z$9:Z$19,all_inputs!A95)=1), dropdown!U$12, 1)</f>
        <v>1</v>
      </c>
      <c r="G95" s="4">
        <f>ui!B$4</f>
        <v>2025</v>
      </c>
      <c r="H95" s="4">
        <f>ui!B$5</f>
        <v>2050</v>
      </c>
      <c r="I95" s="4" t="s">
        <v>93</v>
      </c>
      <c r="J95" s="4" t="str">
        <f>VLOOKUP(ui!B$2,dropdown!M:O,3,FALSE)</f>
        <v>LIC</v>
      </c>
      <c r="K95" s="4"/>
      <c r="L95" s="4"/>
      <c r="M95" s="4"/>
      <c r="N95" s="4">
        <v>1</v>
      </c>
      <c r="O95" s="4"/>
      <c r="P95" s="4"/>
      <c r="Q95" s="4"/>
      <c r="R95" s="4">
        <v>1</v>
      </c>
      <c r="S95" s="4"/>
      <c r="T95" s="4"/>
      <c r="U95" s="4"/>
      <c r="V95" s="4"/>
      <c r="W95" s="4"/>
      <c r="X95" s="4"/>
      <c r="Y95" s="4"/>
      <c r="Z95" s="4"/>
      <c r="AA95" t="b">
        <f>VLOOKUP(all_inputs!E95,ui!A$29:B$33,2,FALSE)</f>
        <v>0</v>
      </c>
    </row>
    <row r="96" spans="1:27" hidden="1" x14ac:dyDescent="0.25">
      <c r="A96" t="s">
        <v>33</v>
      </c>
      <c r="B96">
        <f>IF(COUNTIF(dropdown!B$2:B$12,all_inputs!A96)=1,1,IF(COUNTIF(dropdown!C$2:C$4,all_inputs!A96)=1,2,IF(COUNTIF(dropdown!D$2:D$3,all_inputs!A96)=1,3,"?")))</f>
        <v>1</v>
      </c>
      <c r="C96" t="s">
        <v>17</v>
      </c>
      <c r="D96" t="s">
        <v>468</v>
      </c>
      <c r="E96" t="s">
        <v>459</v>
      </c>
      <c r="F96">
        <f>IF(AND(all_inputs!E96=dropdown!Z$8, COUNTIF(dropdown!Z$9:Z$19,all_inputs!A96)=1), dropdown!U$13, 1)</f>
        <v>1</v>
      </c>
      <c r="G96" s="4">
        <f>ui!B$4</f>
        <v>2025</v>
      </c>
      <c r="H96" s="4">
        <f>ui!B$5</f>
        <v>2050</v>
      </c>
      <c r="I96" s="4" t="s">
        <v>93</v>
      </c>
      <c r="J96" s="4" t="str">
        <f>VLOOKUP(ui!B$2,dropdown!M:O,3,FALSE)</f>
        <v>LIC</v>
      </c>
      <c r="K96" s="4"/>
      <c r="L96" s="4"/>
      <c r="M96" s="4"/>
      <c r="N96" s="4">
        <v>1</v>
      </c>
      <c r="O96" s="4"/>
      <c r="P96" s="4"/>
      <c r="Q96" s="4"/>
      <c r="R96" s="4">
        <v>1</v>
      </c>
      <c r="S96" s="4"/>
      <c r="T96" s="4"/>
      <c r="U96" s="4"/>
      <c r="V96" s="4"/>
      <c r="W96" s="4"/>
      <c r="X96" s="4"/>
      <c r="Y96" s="4"/>
      <c r="Z96" s="4"/>
      <c r="AA96" t="b">
        <f>VLOOKUP(all_inputs!E96,ui!A$29:B$33,2,FALSE)</f>
        <v>0</v>
      </c>
    </row>
    <row r="97" spans="1:27" hidden="1" x14ac:dyDescent="0.25">
      <c r="A97" s="2" t="s">
        <v>33</v>
      </c>
      <c r="B97" s="2">
        <f>IF(COUNTIF(dropdown!B$2:B$12,all_inputs!A97)=1,1,IF(COUNTIF(dropdown!C$2:C$4,all_inputs!A97)=1,2,IF(COUNTIF(dropdown!D$2:D$3,all_inputs!A97)=1,3,"?")))</f>
        <v>1</v>
      </c>
      <c r="C97" s="2" t="s">
        <v>18</v>
      </c>
      <c r="D97" s="2" t="s">
        <v>469</v>
      </c>
      <c r="E97" s="2" t="s">
        <v>459</v>
      </c>
      <c r="F97" s="2">
        <f>IF(AND(all_inputs!E97=dropdown!Z$8, COUNTIF(dropdown!Z$9:Z$19,all_inputs!A97)=1), dropdown!U$14, 1)</f>
        <v>1</v>
      </c>
      <c r="G97" s="5">
        <f>ui!B$4</f>
        <v>2025</v>
      </c>
      <c r="H97" s="5">
        <f>ui!B$5</f>
        <v>2050</v>
      </c>
      <c r="I97" s="5" t="s">
        <v>93</v>
      </c>
      <c r="J97" s="5" t="str">
        <f>VLOOKUP(ui!B$2,dropdown!M:O,3,FALSE)</f>
        <v>LIC</v>
      </c>
      <c r="K97" s="5"/>
      <c r="L97" s="5"/>
      <c r="M97" s="5"/>
      <c r="N97" s="5">
        <v>1</v>
      </c>
      <c r="O97" s="5"/>
      <c r="P97" s="5"/>
      <c r="Q97" s="5"/>
      <c r="R97" s="5">
        <v>1</v>
      </c>
      <c r="S97" s="5"/>
      <c r="T97" s="5"/>
      <c r="U97" s="5"/>
      <c r="V97" s="5"/>
      <c r="W97" s="5"/>
      <c r="X97" s="5"/>
      <c r="Y97" s="5"/>
      <c r="Z97" s="5"/>
      <c r="AA97" s="2" t="b">
        <f>VLOOKUP(all_inputs!E97,ui!A$29:B$33,2,FALSE)</f>
        <v>0</v>
      </c>
    </row>
    <row r="98" spans="1:27" hidden="1" x14ac:dyDescent="0.25">
      <c r="A98" t="s">
        <v>12</v>
      </c>
      <c r="B98">
        <f>IF(COUNTIF(dropdown!B$2:B$12,all_inputs!A98)=1,1,IF(COUNTIF(dropdown!C$2:C$4,all_inputs!A98)=1,2,IF(COUNTIF(dropdown!D$2:D$3,all_inputs!A98)=1,3,"?")))</f>
        <v>1</v>
      </c>
      <c r="C98" t="s">
        <v>13</v>
      </c>
      <c r="D98" t="s">
        <v>472</v>
      </c>
      <c r="E98" t="s">
        <v>460</v>
      </c>
      <c r="F98" s="4">
        <f>IF(AND(all_inputs!E98=dropdown!AA$8, COUNTIF(dropdown!AA$9:AA$19,all_inputs!A98)=1), dropdown!V$9, 1)</f>
        <v>1</v>
      </c>
      <c r="G98" s="4">
        <f>ui!B$4</f>
        <v>2025</v>
      </c>
      <c r="H98" s="4">
        <f>ui!B$5</f>
        <v>2050</v>
      </c>
      <c r="I98" s="4" t="s">
        <v>93</v>
      </c>
      <c r="J98" s="4" t="str">
        <f>VLOOKUP(ui!B$2,dropdown!M:O,3,FALSE)</f>
        <v>LIC</v>
      </c>
      <c r="K98" s="4"/>
      <c r="L98" s="4"/>
      <c r="M98" s="4"/>
      <c r="N98" s="4">
        <v>1</v>
      </c>
      <c r="O98" s="4"/>
      <c r="P98" s="4"/>
      <c r="Q98" s="4"/>
      <c r="R98" s="4">
        <v>1</v>
      </c>
      <c r="S98" s="4"/>
      <c r="T98" s="4"/>
      <c r="U98" s="4"/>
      <c r="V98" s="4"/>
      <c r="W98" s="4"/>
      <c r="X98" s="4"/>
      <c r="Y98" s="4"/>
      <c r="Z98" s="4"/>
      <c r="AA98" t="b">
        <f>VLOOKUP(all_inputs!E98,ui!A$29:B$33,2,FALSE)</f>
        <v>0</v>
      </c>
    </row>
    <row r="99" spans="1:27" hidden="1" x14ac:dyDescent="0.25">
      <c r="A99" t="s">
        <v>12</v>
      </c>
      <c r="B99">
        <f>IF(COUNTIF(dropdown!B$2:B$12,all_inputs!A99)=1,1,IF(COUNTIF(dropdown!C$2:C$4,all_inputs!A99)=1,2,IF(COUNTIF(dropdown!D$2:D$3,all_inputs!A99)=1,3,"?")))</f>
        <v>1</v>
      </c>
      <c r="C99" t="s">
        <v>14</v>
      </c>
      <c r="D99" t="s">
        <v>466</v>
      </c>
      <c r="E99" t="s">
        <v>460</v>
      </c>
      <c r="F99">
        <f>IF(AND(all_inputs!E99=dropdown!AA$8, COUNTIF(dropdown!AA$9:AA$19,all_inputs!A99)=1), dropdown!V$10, 1)</f>
        <v>1</v>
      </c>
      <c r="G99" s="4">
        <f>ui!B$4</f>
        <v>2025</v>
      </c>
      <c r="H99" s="4">
        <f>ui!B$5</f>
        <v>2050</v>
      </c>
      <c r="I99" s="4" t="s">
        <v>93</v>
      </c>
      <c r="J99" s="4" t="str">
        <f>VLOOKUP(ui!B$2,dropdown!M:O,3,FALSE)</f>
        <v>LIC</v>
      </c>
      <c r="K99" s="4"/>
      <c r="L99" s="4"/>
      <c r="M99" s="4"/>
      <c r="N99" s="4">
        <v>1</v>
      </c>
      <c r="O99" s="4"/>
      <c r="P99" s="4"/>
      <c r="Q99" s="4"/>
      <c r="R99" s="4">
        <v>1</v>
      </c>
      <c r="S99" s="4"/>
      <c r="T99" s="4"/>
      <c r="U99" s="4"/>
      <c r="V99" s="4"/>
      <c r="W99" s="4"/>
      <c r="X99" s="4"/>
      <c r="Y99" s="4"/>
      <c r="Z99" s="4"/>
      <c r="AA99" t="b">
        <f>VLOOKUP(all_inputs!E99,ui!A$29:B$33,2,FALSE)</f>
        <v>0</v>
      </c>
    </row>
    <row r="100" spans="1:27" hidden="1" x14ac:dyDescent="0.25">
      <c r="A100" t="s">
        <v>12</v>
      </c>
      <c r="B100">
        <f>IF(COUNTIF(dropdown!B$2:B$12,all_inputs!A100)=1,1,IF(COUNTIF(dropdown!C$2:C$4,all_inputs!A100)=1,2,IF(COUNTIF(dropdown!D$2:D$3,all_inputs!A100)=1,3,"?")))</f>
        <v>1</v>
      </c>
      <c r="C100" t="s">
        <v>15</v>
      </c>
      <c r="D100" t="s">
        <v>466</v>
      </c>
      <c r="E100" t="s">
        <v>460</v>
      </c>
      <c r="F100" s="4">
        <f>IF(AND(all_inputs!E100=dropdown!AA$8, COUNTIF(dropdown!AA$9:AA$19,all_inputs!A100)=1), dropdown!V$11, 1)</f>
        <v>1</v>
      </c>
      <c r="G100" s="4">
        <f>ui!B$4</f>
        <v>2025</v>
      </c>
      <c r="H100" s="4">
        <f>ui!B$5</f>
        <v>2050</v>
      </c>
      <c r="I100" s="4" t="s">
        <v>93</v>
      </c>
      <c r="J100" s="4" t="str">
        <f>VLOOKUP(ui!B$2,dropdown!M:O,3,FALSE)</f>
        <v>LIC</v>
      </c>
      <c r="K100" s="4"/>
      <c r="L100" s="4"/>
      <c r="M100" s="4"/>
      <c r="N100" s="4">
        <v>1</v>
      </c>
      <c r="O100" s="4"/>
      <c r="P100" s="4"/>
      <c r="Q100" s="4"/>
      <c r="R100" s="4">
        <v>1</v>
      </c>
      <c r="S100" s="4"/>
      <c r="T100" s="4"/>
      <c r="U100" s="4"/>
      <c r="V100" s="4"/>
      <c r="W100" s="4"/>
      <c r="X100" s="4"/>
      <c r="Y100" s="4"/>
      <c r="Z100" s="4"/>
      <c r="AA100" t="b">
        <f>VLOOKUP(all_inputs!E100,ui!A$29:B$33,2,FALSE)</f>
        <v>0</v>
      </c>
    </row>
    <row r="101" spans="1:27" hidden="1" x14ac:dyDescent="0.25">
      <c r="A101" t="s">
        <v>12</v>
      </c>
      <c r="B101">
        <f>IF(COUNTIF(dropdown!B$2:B$12,all_inputs!A101)=1,1,IF(COUNTIF(dropdown!C$2:C$4,all_inputs!A101)=1,2,IF(COUNTIF(dropdown!D$2:D$3,all_inputs!A101)=1,3,"?")))</f>
        <v>1</v>
      </c>
      <c r="C101" t="s">
        <v>16</v>
      </c>
      <c r="D101" t="s">
        <v>467</v>
      </c>
      <c r="E101" t="s">
        <v>460</v>
      </c>
      <c r="F101">
        <f>IF(AND(all_inputs!E101=dropdown!AA$8, COUNTIF(dropdown!AA$9:AA$19,all_inputs!A101)=1), dropdown!V$12, 1)</f>
        <v>1</v>
      </c>
      <c r="G101" s="4">
        <f>ui!B$4</f>
        <v>2025</v>
      </c>
      <c r="H101" s="4">
        <f>ui!B$5</f>
        <v>2050</v>
      </c>
      <c r="I101" s="4" t="s">
        <v>93</v>
      </c>
      <c r="J101" s="4" t="str">
        <f>VLOOKUP(ui!B$2,dropdown!M:O,3,FALSE)</f>
        <v>LIC</v>
      </c>
      <c r="K101" s="4"/>
      <c r="L101" s="4"/>
      <c r="M101" s="4"/>
      <c r="N101" s="4">
        <v>1</v>
      </c>
      <c r="O101" s="4"/>
      <c r="P101" s="4"/>
      <c r="Q101" s="4"/>
      <c r="R101" s="4">
        <v>1</v>
      </c>
      <c r="S101" s="4"/>
      <c r="T101" s="4"/>
      <c r="U101" s="4"/>
      <c r="V101" s="4"/>
      <c r="W101" s="4"/>
      <c r="X101" s="4"/>
      <c r="Y101" s="4"/>
      <c r="Z101" s="4"/>
      <c r="AA101" t="b">
        <f>VLOOKUP(all_inputs!E101,ui!A$29:B$33,2,FALSE)</f>
        <v>0</v>
      </c>
    </row>
    <row r="102" spans="1:27" hidden="1" x14ac:dyDescent="0.25">
      <c r="A102" t="s">
        <v>12</v>
      </c>
      <c r="B102">
        <f>IF(COUNTIF(dropdown!B$2:B$12,all_inputs!A102)=1,1,IF(COUNTIF(dropdown!C$2:C$4,all_inputs!A102)=1,2,IF(COUNTIF(dropdown!D$2:D$3,all_inputs!A102)=1,3,"?")))</f>
        <v>1</v>
      </c>
      <c r="C102" t="s">
        <v>17</v>
      </c>
      <c r="D102" t="s">
        <v>468</v>
      </c>
      <c r="E102" t="s">
        <v>460</v>
      </c>
      <c r="F102">
        <f>IF(AND(all_inputs!E102=dropdown!AA$8, COUNTIF(dropdown!AA$9:AA$19,all_inputs!A102)=1), dropdown!V$13, 1)</f>
        <v>1</v>
      </c>
      <c r="G102" s="4">
        <f>ui!B$4</f>
        <v>2025</v>
      </c>
      <c r="H102" s="4">
        <f>ui!B$5</f>
        <v>2050</v>
      </c>
      <c r="I102" s="4" t="s">
        <v>93</v>
      </c>
      <c r="J102" s="4" t="str">
        <f>VLOOKUP(ui!B$2,dropdown!M:O,3,FALSE)</f>
        <v>LIC</v>
      </c>
      <c r="K102" s="4"/>
      <c r="L102" s="4"/>
      <c r="M102" s="4"/>
      <c r="N102" s="4">
        <v>1</v>
      </c>
      <c r="O102" s="4"/>
      <c r="P102" s="4"/>
      <c r="Q102" s="4"/>
      <c r="R102" s="4">
        <v>1</v>
      </c>
      <c r="S102" s="4"/>
      <c r="T102" s="4"/>
      <c r="U102" s="4"/>
      <c r="V102" s="4"/>
      <c r="W102" s="4"/>
      <c r="X102" s="4"/>
      <c r="Y102" s="4"/>
      <c r="Z102" s="4"/>
      <c r="AA102" t="b">
        <f>VLOOKUP(all_inputs!E102,ui!A$29:B$33,2,FALSE)</f>
        <v>0</v>
      </c>
    </row>
    <row r="103" spans="1:27" hidden="1" x14ac:dyDescent="0.25">
      <c r="A103" s="2" t="s">
        <v>12</v>
      </c>
      <c r="B103" s="2">
        <f>IF(COUNTIF(dropdown!B$2:B$12,all_inputs!A103)=1,1,IF(COUNTIF(dropdown!C$2:C$4,all_inputs!A103)=1,2,IF(COUNTIF(dropdown!D$2:D$3,all_inputs!A103)=1,3,"?")))</f>
        <v>1</v>
      </c>
      <c r="C103" s="2" t="s">
        <v>18</v>
      </c>
      <c r="D103" s="2" t="s">
        <v>469</v>
      </c>
      <c r="E103" s="2" t="s">
        <v>460</v>
      </c>
      <c r="F103" s="2">
        <f>IF(AND(all_inputs!E103=dropdown!AA$8, COUNTIF(dropdown!AA$9:AA$19,all_inputs!A103)=1), dropdown!V$14, 1)</f>
        <v>1</v>
      </c>
      <c r="G103" s="5">
        <f>ui!B$4</f>
        <v>2025</v>
      </c>
      <c r="H103" s="5">
        <f>ui!B$5</f>
        <v>2050</v>
      </c>
      <c r="I103" s="5" t="s">
        <v>93</v>
      </c>
      <c r="J103" s="5" t="str">
        <f>VLOOKUP(ui!B$2,dropdown!M:O,3,FALSE)</f>
        <v>LIC</v>
      </c>
      <c r="K103" s="5"/>
      <c r="L103" s="5"/>
      <c r="M103" s="5"/>
      <c r="N103" s="5">
        <v>1</v>
      </c>
      <c r="O103" s="5"/>
      <c r="P103" s="5"/>
      <c r="Q103" s="5"/>
      <c r="R103" s="5">
        <v>1</v>
      </c>
      <c r="S103" s="5"/>
      <c r="T103" s="5"/>
      <c r="U103" s="5"/>
      <c r="V103" s="5"/>
      <c r="W103" s="5"/>
      <c r="X103" s="5"/>
      <c r="Y103" s="5"/>
      <c r="Z103" s="5"/>
      <c r="AA103" s="2" t="b">
        <f>VLOOKUP(all_inputs!E103,ui!A$29:B$33,2,FALSE)</f>
        <v>0</v>
      </c>
    </row>
    <row r="104" spans="1:27" hidden="1" x14ac:dyDescent="0.25">
      <c r="A104" t="s">
        <v>19</v>
      </c>
      <c r="B104">
        <f>IF(COUNTIF(dropdown!B$2:B$12,all_inputs!A104)=1,1,IF(COUNTIF(dropdown!C$2:C$4,all_inputs!A104)=1,2,IF(COUNTIF(dropdown!D$2:D$3,all_inputs!A104)=1,3,"?")))</f>
        <v>2</v>
      </c>
      <c r="C104" t="s">
        <v>13</v>
      </c>
      <c r="D104" t="s">
        <v>472</v>
      </c>
      <c r="E104" t="s">
        <v>460</v>
      </c>
      <c r="F104">
        <f>IF(AND(all_inputs!E104=dropdown!AA$8, COUNTIF(dropdown!AA$9:AA$19,all_inputs!A104)=1), dropdown!V$9, 1)</f>
        <v>1</v>
      </c>
      <c r="G104" s="4">
        <f>ui!B$4</f>
        <v>2025</v>
      </c>
      <c r="H104" s="4">
        <f>ui!B$5</f>
        <v>2050</v>
      </c>
      <c r="I104" s="4" t="s">
        <v>93</v>
      </c>
      <c r="J104" s="4" t="str">
        <f>VLOOKUP(ui!B$2,dropdown!M:O,3,FALSE)</f>
        <v>LIC</v>
      </c>
      <c r="K104" s="4"/>
      <c r="L104" s="4"/>
      <c r="M104" s="4"/>
      <c r="N104" s="4">
        <v>1</v>
      </c>
      <c r="O104" s="4"/>
      <c r="P104" s="4"/>
      <c r="Q104" s="4"/>
      <c r="R104" s="4">
        <v>1</v>
      </c>
      <c r="S104" s="4"/>
      <c r="T104" s="4"/>
      <c r="U104" s="4"/>
      <c r="V104" s="4"/>
      <c r="W104" s="4"/>
      <c r="X104" s="4"/>
      <c r="Y104" s="4"/>
      <c r="Z104" s="4"/>
      <c r="AA104" t="b">
        <f>VLOOKUP(all_inputs!E104,ui!A$29:B$33,2,FALSE)</f>
        <v>0</v>
      </c>
    </row>
    <row r="105" spans="1:27" hidden="1" x14ac:dyDescent="0.25">
      <c r="A105" t="s">
        <v>19</v>
      </c>
      <c r="B105">
        <f>IF(COUNTIF(dropdown!B$2:B$12,all_inputs!A105)=1,1,IF(COUNTIF(dropdown!C$2:C$4,all_inputs!A105)=1,2,IF(COUNTIF(dropdown!D$2:D$3,all_inputs!A105)=1,3,"?")))</f>
        <v>2</v>
      </c>
      <c r="C105" t="s">
        <v>14</v>
      </c>
      <c r="D105" t="s">
        <v>466</v>
      </c>
      <c r="E105" t="s">
        <v>460</v>
      </c>
      <c r="F105" s="4">
        <v>1</v>
      </c>
      <c r="G105" s="4">
        <f>ui!B$4</f>
        <v>2025</v>
      </c>
      <c r="H105" s="4">
        <f>ui!B$5</f>
        <v>2050</v>
      </c>
      <c r="I105" s="4" t="s">
        <v>93</v>
      </c>
      <c r="J105" s="4" t="str">
        <f>VLOOKUP(ui!B$2,dropdown!M:O,3,FALSE)</f>
        <v>LIC</v>
      </c>
      <c r="K105" s="4"/>
      <c r="L105" s="4"/>
      <c r="M105" s="4"/>
      <c r="N105" s="4">
        <v>1</v>
      </c>
      <c r="O105" s="4"/>
      <c r="P105" s="4"/>
      <c r="Q105" s="4"/>
      <c r="R105" s="4">
        <v>1</v>
      </c>
      <c r="S105" s="4"/>
      <c r="T105" s="4"/>
      <c r="U105" s="4"/>
      <c r="V105" s="4"/>
      <c r="W105" s="4"/>
      <c r="X105" s="4"/>
      <c r="Y105" s="4"/>
      <c r="Z105" s="4"/>
      <c r="AA105" t="b">
        <f>VLOOKUP(all_inputs!E105,ui!A$29:B$33,2,FALSE)</f>
        <v>0</v>
      </c>
    </row>
    <row r="106" spans="1:27" hidden="1" x14ac:dyDescent="0.25">
      <c r="A106" t="s">
        <v>19</v>
      </c>
      <c r="B106">
        <f>IF(COUNTIF(dropdown!B$2:B$12,all_inputs!A106)=1,1,IF(COUNTIF(dropdown!C$2:C$4,all_inputs!A106)=1,2,IF(COUNTIF(dropdown!D$2:D$3,all_inputs!A106)=1,3,"?")))</f>
        <v>2</v>
      </c>
      <c r="C106" t="s">
        <v>15</v>
      </c>
      <c r="D106" t="s">
        <v>466</v>
      </c>
      <c r="E106" t="s">
        <v>460</v>
      </c>
      <c r="F106">
        <f>IF(AND(all_inputs!E106=dropdown!AA$8, COUNTIF(dropdown!AA$9:AA$19,all_inputs!A106)=1), dropdown!V$11, 1)</f>
        <v>1</v>
      </c>
      <c r="G106" s="4">
        <f>ui!B$4</f>
        <v>2025</v>
      </c>
      <c r="H106" s="4">
        <f>ui!B$5</f>
        <v>2050</v>
      </c>
      <c r="I106" s="4" t="s">
        <v>93</v>
      </c>
      <c r="J106" s="4" t="str">
        <f>VLOOKUP(ui!B$2,dropdown!M:O,3,FALSE)</f>
        <v>LIC</v>
      </c>
      <c r="K106" s="4"/>
      <c r="L106" s="4"/>
      <c r="M106" s="4"/>
      <c r="N106" s="4">
        <v>1</v>
      </c>
      <c r="O106" s="4"/>
      <c r="P106" s="4"/>
      <c r="Q106" s="4"/>
      <c r="R106" s="4">
        <v>1</v>
      </c>
      <c r="S106" s="4"/>
      <c r="T106" s="4"/>
      <c r="U106" s="4"/>
      <c r="V106" s="4"/>
      <c r="W106" s="4"/>
      <c r="X106" s="4"/>
      <c r="Y106" s="4"/>
      <c r="Z106" s="4"/>
      <c r="AA106" t="b">
        <f>VLOOKUP(all_inputs!E106,ui!A$29:B$33,2,FALSE)</f>
        <v>0</v>
      </c>
    </row>
    <row r="107" spans="1:27" hidden="1" x14ac:dyDescent="0.25">
      <c r="A107" t="s">
        <v>19</v>
      </c>
      <c r="B107">
        <f>IF(COUNTIF(dropdown!B$2:B$12,all_inputs!A107)=1,1,IF(COUNTIF(dropdown!C$2:C$4,all_inputs!A107)=1,2,IF(COUNTIF(dropdown!D$2:D$3,all_inputs!A107)=1,3,"?")))</f>
        <v>2</v>
      </c>
      <c r="C107" t="s">
        <v>16</v>
      </c>
      <c r="D107" t="s">
        <v>467</v>
      </c>
      <c r="E107" t="s">
        <v>460</v>
      </c>
      <c r="F107">
        <f>IF(AND(all_inputs!E107=dropdown!AA$8, COUNTIF(dropdown!AA$9:AA$19,all_inputs!A107)=1), dropdown!V$12, 1)</f>
        <v>1</v>
      </c>
      <c r="G107" s="4">
        <f>ui!B$4</f>
        <v>2025</v>
      </c>
      <c r="H107" s="4">
        <f>ui!B$5</f>
        <v>2050</v>
      </c>
      <c r="I107" s="4" t="s">
        <v>93</v>
      </c>
      <c r="J107" s="4" t="str">
        <f>VLOOKUP(ui!B$2,dropdown!M:O,3,FALSE)</f>
        <v>LIC</v>
      </c>
      <c r="K107" s="4"/>
      <c r="L107" s="4"/>
      <c r="M107" s="4"/>
      <c r="N107" s="4">
        <v>1</v>
      </c>
      <c r="O107" s="4"/>
      <c r="P107" s="4"/>
      <c r="Q107" s="4"/>
      <c r="R107" s="4">
        <v>1</v>
      </c>
      <c r="S107" s="4"/>
      <c r="T107" s="4"/>
      <c r="U107" s="4"/>
      <c r="V107" s="4"/>
      <c r="W107" s="4"/>
      <c r="X107" s="4"/>
      <c r="Y107" s="4"/>
      <c r="Z107" s="4"/>
      <c r="AA107" t="b">
        <f>VLOOKUP(all_inputs!E107,ui!A$29:B$33,2,FALSE)</f>
        <v>0</v>
      </c>
    </row>
    <row r="108" spans="1:27" hidden="1" x14ac:dyDescent="0.25">
      <c r="A108" t="s">
        <v>19</v>
      </c>
      <c r="B108">
        <f>IF(COUNTIF(dropdown!B$2:B$12,all_inputs!A108)=1,1,IF(COUNTIF(dropdown!C$2:C$4,all_inputs!A108)=1,2,IF(COUNTIF(dropdown!D$2:D$3,all_inputs!A108)=1,3,"?")))</f>
        <v>2</v>
      </c>
      <c r="C108" t="s">
        <v>17</v>
      </c>
      <c r="D108" t="s">
        <v>468</v>
      </c>
      <c r="E108" t="s">
        <v>460</v>
      </c>
      <c r="F108">
        <f>IF(AND(all_inputs!E108=dropdown!AA$8, COUNTIF(dropdown!AA$9:AA$19,all_inputs!A108)=1), dropdown!V$13, 1)</f>
        <v>1</v>
      </c>
      <c r="G108" s="4">
        <f>ui!B$4</f>
        <v>2025</v>
      </c>
      <c r="H108" s="4">
        <f>ui!B$5</f>
        <v>2050</v>
      </c>
      <c r="I108" s="4" t="s">
        <v>93</v>
      </c>
      <c r="J108" s="4" t="str">
        <f>VLOOKUP(ui!B$2,dropdown!M:O,3,FALSE)</f>
        <v>LIC</v>
      </c>
      <c r="K108" s="4"/>
      <c r="L108" s="4"/>
      <c r="M108" s="4"/>
      <c r="N108" s="4">
        <v>1</v>
      </c>
      <c r="O108" s="4"/>
      <c r="P108" s="4"/>
      <c r="Q108" s="4"/>
      <c r="R108" s="4">
        <v>1</v>
      </c>
      <c r="S108" s="4"/>
      <c r="T108" s="4"/>
      <c r="U108" s="4"/>
      <c r="V108" s="4"/>
      <c r="W108" s="4"/>
      <c r="X108" s="4"/>
      <c r="Y108" s="4"/>
      <c r="Z108" s="4"/>
      <c r="AA108" t="b">
        <f>VLOOKUP(all_inputs!E108,ui!A$29:B$33,2,FALSE)</f>
        <v>0</v>
      </c>
    </row>
    <row r="109" spans="1:27" hidden="1" x14ac:dyDescent="0.25">
      <c r="A109" s="2" t="s">
        <v>19</v>
      </c>
      <c r="B109" s="2">
        <f>IF(COUNTIF(dropdown!B$2:B$12,all_inputs!A109)=1,1,IF(COUNTIF(dropdown!C$2:C$4,all_inputs!A109)=1,2,IF(COUNTIF(dropdown!D$2:D$3,all_inputs!A109)=1,3,"?")))</f>
        <v>2</v>
      </c>
      <c r="C109" s="2" t="s">
        <v>18</v>
      </c>
      <c r="D109" s="2" t="s">
        <v>469</v>
      </c>
      <c r="E109" s="2" t="s">
        <v>460</v>
      </c>
      <c r="F109" s="2">
        <f>IF(AND(all_inputs!E109=dropdown!AA$8, COUNTIF(dropdown!AA$9:AA$19,all_inputs!A109)=1), dropdown!V$14, 1)</f>
        <v>1</v>
      </c>
      <c r="G109" s="5">
        <f>ui!B$4</f>
        <v>2025</v>
      </c>
      <c r="H109" s="5">
        <f>ui!B$5</f>
        <v>2050</v>
      </c>
      <c r="I109" s="5" t="s">
        <v>93</v>
      </c>
      <c r="J109" s="5" t="str">
        <f>VLOOKUP(ui!B$2,dropdown!M:O,3,FALSE)</f>
        <v>LIC</v>
      </c>
      <c r="K109" s="5"/>
      <c r="L109" s="5"/>
      <c r="M109" s="5"/>
      <c r="N109" s="5">
        <v>1</v>
      </c>
      <c r="O109" s="5"/>
      <c r="P109" s="5"/>
      <c r="Q109" s="5"/>
      <c r="R109" s="5">
        <v>1</v>
      </c>
      <c r="S109" s="5"/>
      <c r="T109" s="5"/>
      <c r="U109" s="5"/>
      <c r="V109" s="5"/>
      <c r="W109" s="5"/>
      <c r="X109" s="5"/>
      <c r="Y109" s="5"/>
      <c r="Z109" s="5"/>
      <c r="AA109" s="2" t="b">
        <f>VLOOKUP(all_inputs!E109,ui!A$29:B$33,2,FALSE)</f>
        <v>0</v>
      </c>
    </row>
    <row r="110" spans="1:27" hidden="1" x14ac:dyDescent="0.25">
      <c r="A110" t="s">
        <v>20</v>
      </c>
      <c r="B110">
        <f>IF(COUNTIF(dropdown!B$2:B$12,all_inputs!A110)=1,1,IF(COUNTIF(dropdown!C$2:C$4,all_inputs!A110)=1,2,IF(COUNTIF(dropdown!D$2:D$3,all_inputs!A110)=1,3,"?")))</f>
        <v>3</v>
      </c>
      <c r="C110" t="s">
        <v>13</v>
      </c>
      <c r="D110" t="s">
        <v>472</v>
      </c>
      <c r="E110" t="s">
        <v>460</v>
      </c>
      <c r="F110">
        <f>IF(AND(all_inputs!E110=dropdown!AA$8, COUNTIF(dropdown!AA$9:AA$19,all_inputs!A110)=1), dropdown!V$9, 1)</f>
        <v>1</v>
      </c>
      <c r="G110" s="4">
        <f>ui!B$4</f>
        <v>2025</v>
      </c>
      <c r="H110" s="4">
        <f>ui!B$5</f>
        <v>2050</v>
      </c>
      <c r="I110" s="4" t="s">
        <v>93</v>
      </c>
      <c r="J110" s="4" t="str">
        <f>VLOOKUP(ui!B$2,dropdown!M:O,3,FALSE)</f>
        <v>LIC</v>
      </c>
      <c r="K110" s="4"/>
      <c r="L110" s="4"/>
      <c r="M110" s="4"/>
      <c r="N110" s="4">
        <v>1</v>
      </c>
      <c r="O110" s="4"/>
      <c r="P110" s="4"/>
      <c r="Q110" s="4"/>
      <c r="R110" s="4">
        <v>1</v>
      </c>
      <c r="S110" s="4"/>
      <c r="T110" s="4"/>
      <c r="U110" s="4"/>
      <c r="V110" s="4"/>
      <c r="W110" s="4"/>
      <c r="X110" s="4"/>
      <c r="Y110" s="4"/>
      <c r="Z110" s="4"/>
      <c r="AA110" t="b">
        <f>VLOOKUP(all_inputs!E110,ui!A$29:B$33,2,FALSE)</f>
        <v>0</v>
      </c>
    </row>
    <row r="111" spans="1:27" hidden="1" x14ac:dyDescent="0.25">
      <c r="A111" t="s">
        <v>20</v>
      </c>
      <c r="B111">
        <f>IF(COUNTIF(dropdown!B$2:B$12,all_inputs!A111)=1,1,IF(COUNTIF(dropdown!C$2:C$4,all_inputs!A111)=1,2,IF(COUNTIF(dropdown!D$2:D$3,all_inputs!A111)=1,3,"?")))</f>
        <v>3</v>
      </c>
      <c r="C111" t="s">
        <v>14</v>
      </c>
      <c r="D111" t="s">
        <v>466</v>
      </c>
      <c r="E111" t="s">
        <v>460</v>
      </c>
      <c r="F111" s="4">
        <f>IF(AND(all_inputs!E111=dropdown!AA$8, COUNTIF(dropdown!AA$9:AA$19,all_inputs!A111)=1), dropdown!V$10, 1)</f>
        <v>1</v>
      </c>
      <c r="G111" s="4">
        <f>ui!B$4</f>
        <v>2025</v>
      </c>
      <c r="H111" s="4">
        <f>ui!B$5</f>
        <v>2050</v>
      </c>
      <c r="I111" s="4" t="s">
        <v>93</v>
      </c>
      <c r="J111" s="4" t="str">
        <f>VLOOKUP(ui!B$2,dropdown!M:O,3,FALSE)</f>
        <v>LIC</v>
      </c>
      <c r="K111" s="4"/>
      <c r="L111" s="4"/>
      <c r="M111" s="4"/>
      <c r="N111" s="4">
        <v>1</v>
      </c>
      <c r="O111" s="4"/>
      <c r="P111" s="4"/>
      <c r="Q111" s="4"/>
      <c r="R111" s="4">
        <v>1</v>
      </c>
      <c r="S111" s="4"/>
      <c r="T111" s="4"/>
      <c r="U111" s="4"/>
      <c r="V111" s="4"/>
      <c r="W111" s="4"/>
      <c r="X111" s="4"/>
      <c r="Y111" s="4"/>
      <c r="Z111" s="4"/>
      <c r="AA111" t="b">
        <f>VLOOKUP(all_inputs!E111,ui!A$29:B$33,2,FALSE)</f>
        <v>0</v>
      </c>
    </row>
    <row r="112" spans="1:27" hidden="1" x14ac:dyDescent="0.25">
      <c r="A112" t="s">
        <v>20</v>
      </c>
      <c r="B112">
        <f>IF(COUNTIF(dropdown!B$2:B$12,all_inputs!A112)=1,1,IF(COUNTIF(dropdown!C$2:C$4,all_inputs!A112)=1,2,IF(COUNTIF(dropdown!D$2:D$3,all_inputs!A112)=1,3,"?")))</f>
        <v>3</v>
      </c>
      <c r="C112" t="s">
        <v>15</v>
      </c>
      <c r="D112" t="s">
        <v>466</v>
      </c>
      <c r="E112" t="s">
        <v>460</v>
      </c>
      <c r="F112">
        <f>IF(AND(all_inputs!E112=dropdown!AA$8, COUNTIF(dropdown!AA$9:AA$19,all_inputs!A112)=1), dropdown!V$11, 1)</f>
        <v>1</v>
      </c>
      <c r="G112" s="4">
        <f>ui!B$4</f>
        <v>2025</v>
      </c>
      <c r="H112" s="4">
        <f>ui!B$5</f>
        <v>2050</v>
      </c>
      <c r="I112" s="4" t="s">
        <v>93</v>
      </c>
      <c r="J112" s="4" t="str">
        <f>VLOOKUP(ui!B$2,dropdown!M:O,3,FALSE)</f>
        <v>LIC</v>
      </c>
      <c r="K112" s="4"/>
      <c r="L112" s="4"/>
      <c r="M112" s="4"/>
      <c r="N112" s="4">
        <v>1</v>
      </c>
      <c r="O112" s="4"/>
      <c r="P112" s="4"/>
      <c r="Q112" s="4"/>
      <c r="R112" s="4">
        <v>1</v>
      </c>
      <c r="S112" s="4"/>
      <c r="T112" s="4"/>
      <c r="U112" s="4"/>
      <c r="V112" s="4"/>
      <c r="W112" s="4"/>
      <c r="X112" s="4"/>
      <c r="Y112" s="4"/>
      <c r="Z112" s="4"/>
      <c r="AA112" t="b">
        <f>VLOOKUP(all_inputs!E112,ui!A$29:B$33,2,FALSE)</f>
        <v>0</v>
      </c>
    </row>
    <row r="113" spans="1:27" hidden="1" x14ac:dyDescent="0.25">
      <c r="A113" t="s">
        <v>20</v>
      </c>
      <c r="B113">
        <f>IF(COUNTIF(dropdown!B$2:B$12,all_inputs!A113)=1,1,IF(COUNTIF(dropdown!C$2:C$4,all_inputs!A113)=1,2,IF(COUNTIF(dropdown!D$2:D$3,all_inputs!A113)=1,3,"?")))</f>
        <v>3</v>
      </c>
      <c r="C113" t="s">
        <v>16</v>
      </c>
      <c r="D113" t="s">
        <v>467</v>
      </c>
      <c r="E113" t="s">
        <v>460</v>
      </c>
      <c r="F113">
        <f>IF(AND(all_inputs!E113=dropdown!AA$8, COUNTIF(dropdown!AA$9:AA$19,all_inputs!A113)=1), dropdown!V$12, 1)</f>
        <v>1</v>
      </c>
      <c r="G113" s="4">
        <f>ui!B$4</f>
        <v>2025</v>
      </c>
      <c r="H113" s="4">
        <f>ui!B$5</f>
        <v>2050</v>
      </c>
      <c r="I113" s="4" t="s">
        <v>93</v>
      </c>
      <c r="J113" s="4" t="str">
        <f>VLOOKUP(ui!B$2,dropdown!M:O,3,FALSE)</f>
        <v>LIC</v>
      </c>
      <c r="K113" s="4"/>
      <c r="L113" s="4"/>
      <c r="M113" s="4"/>
      <c r="N113" s="4">
        <v>1</v>
      </c>
      <c r="O113" s="4"/>
      <c r="P113" s="4"/>
      <c r="Q113" s="4"/>
      <c r="R113" s="4">
        <v>1</v>
      </c>
      <c r="S113" s="4"/>
      <c r="T113" s="4"/>
      <c r="U113" s="4"/>
      <c r="V113" s="4"/>
      <c r="W113" s="4"/>
      <c r="X113" s="4"/>
      <c r="Y113" s="4"/>
      <c r="Z113" s="4"/>
      <c r="AA113" t="b">
        <f>VLOOKUP(all_inputs!E113,ui!A$29:B$33,2,FALSE)</f>
        <v>0</v>
      </c>
    </row>
    <row r="114" spans="1:27" hidden="1" x14ac:dyDescent="0.25">
      <c r="A114" t="s">
        <v>20</v>
      </c>
      <c r="B114">
        <f>IF(COUNTIF(dropdown!B$2:B$12,all_inputs!A114)=1,1,IF(COUNTIF(dropdown!C$2:C$4,all_inputs!A114)=1,2,IF(COUNTIF(dropdown!D$2:D$3,all_inputs!A114)=1,3,"?")))</f>
        <v>3</v>
      </c>
      <c r="C114" t="s">
        <v>17</v>
      </c>
      <c r="D114" t="s">
        <v>468</v>
      </c>
      <c r="E114" t="s">
        <v>460</v>
      </c>
      <c r="F114">
        <f>IF(AND(all_inputs!E114=dropdown!AA$8, COUNTIF(dropdown!AA$9:AA$19,all_inputs!A114)=1), dropdown!V$13, 1)</f>
        <v>1</v>
      </c>
      <c r="G114" s="4">
        <f>ui!B$4</f>
        <v>2025</v>
      </c>
      <c r="H114" s="4">
        <f>ui!B$5</f>
        <v>2050</v>
      </c>
      <c r="I114" s="4" t="s">
        <v>93</v>
      </c>
      <c r="J114" s="4" t="str">
        <f>VLOOKUP(ui!B$2,dropdown!M:O,3,FALSE)</f>
        <v>LIC</v>
      </c>
      <c r="K114" s="4"/>
      <c r="L114" s="4"/>
      <c r="M114" s="4"/>
      <c r="N114" s="4">
        <v>1</v>
      </c>
      <c r="O114" s="4"/>
      <c r="P114" s="4"/>
      <c r="Q114" s="4"/>
      <c r="R114" s="4">
        <v>1</v>
      </c>
      <c r="S114" s="4"/>
      <c r="T114" s="4"/>
      <c r="U114" s="4"/>
      <c r="V114" s="4"/>
      <c r="W114" s="4"/>
      <c r="X114" s="4"/>
      <c r="Y114" s="4"/>
      <c r="Z114" s="4"/>
      <c r="AA114" t="b">
        <f>VLOOKUP(all_inputs!E114,ui!A$29:B$33,2,FALSE)</f>
        <v>0</v>
      </c>
    </row>
    <row r="115" spans="1:27" hidden="1" x14ac:dyDescent="0.25">
      <c r="A115" s="2" t="s">
        <v>20</v>
      </c>
      <c r="B115" s="2">
        <f>IF(COUNTIF(dropdown!B$2:B$12,all_inputs!A115)=1,1,IF(COUNTIF(dropdown!C$2:C$4,all_inputs!A115)=1,2,IF(COUNTIF(dropdown!D$2:D$3,all_inputs!A115)=1,3,"?")))</f>
        <v>3</v>
      </c>
      <c r="C115" s="2" t="s">
        <v>18</v>
      </c>
      <c r="D115" s="2" t="s">
        <v>469</v>
      </c>
      <c r="E115" s="2" t="s">
        <v>460</v>
      </c>
      <c r="F115" s="2">
        <f>IF(AND(all_inputs!E115=dropdown!AA$8, COUNTIF(dropdown!AA$9:AA$19,all_inputs!A115)=1), dropdown!V$14, 1)</f>
        <v>1</v>
      </c>
      <c r="G115" s="5">
        <f>ui!B$4</f>
        <v>2025</v>
      </c>
      <c r="H115" s="5">
        <f>ui!B$5</f>
        <v>2050</v>
      </c>
      <c r="I115" s="5" t="s">
        <v>93</v>
      </c>
      <c r="J115" s="5" t="str">
        <f>VLOOKUP(ui!B$2,dropdown!M:O,3,FALSE)</f>
        <v>LIC</v>
      </c>
      <c r="K115" s="5"/>
      <c r="L115" s="5"/>
      <c r="M115" s="5"/>
      <c r="N115" s="5">
        <v>1</v>
      </c>
      <c r="O115" s="5"/>
      <c r="P115" s="5"/>
      <c r="Q115" s="5"/>
      <c r="R115" s="5">
        <v>1</v>
      </c>
      <c r="S115" s="5"/>
      <c r="T115" s="5"/>
      <c r="U115" s="5"/>
      <c r="V115" s="5"/>
      <c r="W115" s="5"/>
      <c r="X115" s="5"/>
      <c r="Y115" s="5"/>
      <c r="Z115" s="5"/>
      <c r="AA115" s="2" t="b">
        <f>VLOOKUP(all_inputs!E115,ui!A$29:B$33,2,FALSE)</f>
        <v>0</v>
      </c>
    </row>
    <row r="116" spans="1:27" hidden="1" x14ac:dyDescent="0.25">
      <c r="A116" t="s">
        <v>21</v>
      </c>
      <c r="B116">
        <f>IF(COUNTIF(dropdown!B$2:B$12,all_inputs!A116)=1,1,IF(COUNTIF(dropdown!C$2:C$4,all_inputs!A116)=1,2,IF(COUNTIF(dropdown!D$2:D$3,all_inputs!A116)=1,3,"?")))</f>
        <v>3</v>
      </c>
      <c r="C116" t="s">
        <v>13</v>
      </c>
      <c r="D116" t="s">
        <v>472</v>
      </c>
      <c r="E116" t="s">
        <v>460</v>
      </c>
      <c r="F116">
        <f>IF(AND(all_inputs!E116=dropdown!AA$8, COUNTIF(dropdown!AA$9:AA$19,all_inputs!A116)=1), dropdown!V$9, 1)</f>
        <v>1</v>
      </c>
      <c r="G116" s="4">
        <f>ui!B$4</f>
        <v>2025</v>
      </c>
      <c r="H116" s="4">
        <f>ui!B$5</f>
        <v>2050</v>
      </c>
      <c r="I116" s="4" t="s">
        <v>93</v>
      </c>
      <c r="J116" s="4" t="str">
        <f>VLOOKUP(ui!B$2,dropdown!M:O,3,FALSE)</f>
        <v>LIC</v>
      </c>
      <c r="K116" s="4"/>
      <c r="L116" s="4"/>
      <c r="M116" s="4"/>
      <c r="N116" s="4">
        <v>1</v>
      </c>
      <c r="O116" s="4"/>
      <c r="P116" s="4"/>
      <c r="Q116" s="4"/>
      <c r="R116" s="4">
        <v>1</v>
      </c>
      <c r="S116" s="4"/>
      <c r="T116" s="4"/>
      <c r="U116" s="4"/>
      <c r="V116" s="4"/>
      <c r="W116" s="4"/>
      <c r="X116" s="4"/>
      <c r="Y116" s="4"/>
      <c r="Z116" s="4"/>
      <c r="AA116" t="b">
        <f>VLOOKUP(all_inputs!E116,ui!A$29:B$33,2,FALSE)</f>
        <v>0</v>
      </c>
    </row>
    <row r="117" spans="1:27" hidden="1" x14ac:dyDescent="0.25">
      <c r="A117" t="s">
        <v>21</v>
      </c>
      <c r="B117">
        <f>IF(COUNTIF(dropdown!B$2:B$12,all_inputs!A117)=1,1,IF(COUNTIF(dropdown!C$2:C$4,all_inputs!A117)=1,2,IF(COUNTIF(dropdown!D$2:D$3,all_inputs!A117)=1,3,"?")))</f>
        <v>3</v>
      </c>
      <c r="C117" t="s">
        <v>14</v>
      </c>
      <c r="D117" t="s">
        <v>466</v>
      </c>
      <c r="E117" t="s">
        <v>460</v>
      </c>
      <c r="F117" s="4">
        <f>IF(AND(all_inputs!E117=dropdown!AA$8, COUNTIF(dropdown!AA$9:AA$19,all_inputs!A117)=1), dropdown!V$10, 1)</f>
        <v>1</v>
      </c>
      <c r="G117" s="4">
        <f>ui!B$4</f>
        <v>2025</v>
      </c>
      <c r="H117" s="4">
        <f>ui!B$5</f>
        <v>2050</v>
      </c>
      <c r="I117" s="4" t="s">
        <v>93</v>
      </c>
      <c r="J117" s="4" t="str">
        <f>VLOOKUP(ui!B$2,dropdown!M:O,3,FALSE)</f>
        <v>LIC</v>
      </c>
      <c r="K117" s="4"/>
      <c r="L117" s="4"/>
      <c r="M117" s="4"/>
      <c r="N117" s="4">
        <v>1</v>
      </c>
      <c r="O117" s="4"/>
      <c r="P117" s="4"/>
      <c r="Q117" s="4"/>
      <c r="R117" s="4">
        <v>1</v>
      </c>
      <c r="S117" s="4"/>
      <c r="T117" s="4"/>
      <c r="U117" s="4"/>
      <c r="V117" s="4"/>
      <c r="W117" s="4"/>
      <c r="X117" s="4"/>
      <c r="Y117" s="4"/>
      <c r="Z117" s="4"/>
      <c r="AA117" t="b">
        <f>VLOOKUP(all_inputs!E117,ui!A$29:B$33,2,FALSE)</f>
        <v>0</v>
      </c>
    </row>
    <row r="118" spans="1:27" hidden="1" x14ac:dyDescent="0.25">
      <c r="A118" t="s">
        <v>21</v>
      </c>
      <c r="B118">
        <f>IF(COUNTIF(dropdown!B$2:B$12,all_inputs!A118)=1,1,IF(COUNTIF(dropdown!C$2:C$4,all_inputs!A118)=1,2,IF(COUNTIF(dropdown!D$2:D$3,all_inputs!A118)=1,3,"?")))</f>
        <v>3</v>
      </c>
      <c r="C118" t="s">
        <v>15</v>
      </c>
      <c r="D118" t="s">
        <v>466</v>
      </c>
      <c r="E118" t="s">
        <v>460</v>
      </c>
      <c r="F118">
        <f>IF(AND(all_inputs!E118=dropdown!AA$8, COUNTIF(dropdown!AA$9:AA$19,all_inputs!A118)=1), dropdown!V$11, 1)</f>
        <v>1</v>
      </c>
      <c r="G118" s="4">
        <f>ui!B$4</f>
        <v>2025</v>
      </c>
      <c r="H118" s="4">
        <f>ui!B$5</f>
        <v>2050</v>
      </c>
      <c r="I118" s="4" t="s">
        <v>93</v>
      </c>
      <c r="J118" s="4" t="str">
        <f>VLOOKUP(ui!B$2,dropdown!M:O,3,FALSE)</f>
        <v>LIC</v>
      </c>
      <c r="K118" s="4"/>
      <c r="L118" s="4"/>
      <c r="M118" s="4"/>
      <c r="N118" s="4">
        <v>1</v>
      </c>
      <c r="O118" s="4"/>
      <c r="P118" s="4"/>
      <c r="Q118" s="4"/>
      <c r="R118" s="4">
        <v>1</v>
      </c>
      <c r="S118" s="4"/>
      <c r="T118" s="4"/>
      <c r="U118" s="4"/>
      <c r="V118" s="4"/>
      <c r="W118" s="4"/>
      <c r="X118" s="4"/>
      <c r="Y118" s="4"/>
      <c r="Z118" s="4"/>
      <c r="AA118" t="b">
        <f>VLOOKUP(all_inputs!E118,ui!A$29:B$33,2,FALSE)</f>
        <v>0</v>
      </c>
    </row>
    <row r="119" spans="1:27" hidden="1" x14ac:dyDescent="0.25">
      <c r="A119" t="s">
        <v>21</v>
      </c>
      <c r="B119">
        <f>IF(COUNTIF(dropdown!B$2:B$12,all_inputs!A119)=1,1,IF(COUNTIF(dropdown!C$2:C$4,all_inputs!A119)=1,2,IF(COUNTIF(dropdown!D$2:D$3,all_inputs!A119)=1,3,"?")))</f>
        <v>3</v>
      </c>
      <c r="C119" t="s">
        <v>16</v>
      </c>
      <c r="D119" t="s">
        <v>467</v>
      </c>
      <c r="E119" t="s">
        <v>460</v>
      </c>
      <c r="F119">
        <f>IF(AND(all_inputs!E119=dropdown!AA$8, COUNTIF(dropdown!AA$9:AA$19,all_inputs!A119)=1), dropdown!V$12, 1)</f>
        <v>1</v>
      </c>
      <c r="G119" s="4">
        <f>ui!B$4</f>
        <v>2025</v>
      </c>
      <c r="H119" s="4">
        <f>ui!B$5</f>
        <v>2050</v>
      </c>
      <c r="I119" s="4" t="s">
        <v>93</v>
      </c>
      <c r="J119" s="4" t="str">
        <f>VLOOKUP(ui!B$2,dropdown!M:O,3,FALSE)</f>
        <v>LIC</v>
      </c>
      <c r="K119" s="4"/>
      <c r="L119" s="4"/>
      <c r="M119" s="4"/>
      <c r="N119" s="4">
        <v>1</v>
      </c>
      <c r="O119" s="4"/>
      <c r="P119" s="4"/>
      <c r="Q119" s="4"/>
      <c r="R119" s="4">
        <v>1</v>
      </c>
      <c r="S119" s="4"/>
      <c r="T119" s="4"/>
      <c r="U119" s="4"/>
      <c r="V119" s="4"/>
      <c r="W119" s="4"/>
      <c r="X119" s="4"/>
      <c r="Y119" s="4"/>
      <c r="Z119" s="4"/>
      <c r="AA119" t="b">
        <f>VLOOKUP(all_inputs!E119,ui!A$29:B$33,2,FALSE)</f>
        <v>0</v>
      </c>
    </row>
    <row r="120" spans="1:27" hidden="1" x14ac:dyDescent="0.25">
      <c r="A120" t="s">
        <v>21</v>
      </c>
      <c r="B120">
        <f>IF(COUNTIF(dropdown!B$2:B$12,all_inputs!A120)=1,1,IF(COUNTIF(dropdown!C$2:C$4,all_inputs!A120)=1,2,IF(COUNTIF(dropdown!D$2:D$3,all_inputs!A120)=1,3,"?")))</f>
        <v>3</v>
      </c>
      <c r="C120" t="s">
        <v>17</v>
      </c>
      <c r="D120" t="s">
        <v>468</v>
      </c>
      <c r="E120" t="s">
        <v>460</v>
      </c>
      <c r="F120">
        <f>IF(AND(all_inputs!E120=dropdown!AA$8, COUNTIF(dropdown!AA$9:AA$19,all_inputs!A120)=1), dropdown!V$13, 1)</f>
        <v>1</v>
      </c>
      <c r="G120" s="4">
        <f>ui!B$4</f>
        <v>2025</v>
      </c>
      <c r="H120" s="4">
        <f>ui!B$5</f>
        <v>2050</v>
      </c>
      <c r="I120" s="4" t="s">
        <v>93</v>
      </c>
      <c r="J120" s="4" t="str">
        <f>VLOOKUP(ui!B$2,dropdown!M:O,3,FALSE)</f>
        <v>LIC</v>
      </c>
      <c r="K120" s="4"/>
      <c r="L120" s="4"/>
      <c r="M120" s="4"/>
      <c r="N120" s="4">
        <v>1</v>
      </c>
      <c r="O120" s="4"/>
      <c r="P120" s="4"/>
      <c r="Q120" s="4"/>
      <c r="R120" s="4">
        <v>1</v>
      </c>
      <c r="S120" s="4"/>
      <c r="T120" s="4"/>
      <c r="U120" s="4"/>
      <c r="V120" s="4"/>
      <c r="W120" s="4"/>
      <c r="X120" s="4"/>
      <c r="Y120" s="4"/>
      <c r="Z120" s="4"/>
      <c r="AA120" t="b">
        <f>VLOOKUP(all_inputs!E120,ui!A$29:B$33,2,FALSE)</f>
        <v>0</v>
      </c>
    </row>
    <row r="121" spans="1:27" hidden="1" x14ac:dyDescent="0.25">
      <c r="A121" s="2" t="s">
        <v>21</v>
      </c>
      <c r="B121" s="2">
        <f>IF(COUNTIF(dropdown!B$2:B$12,all_inputs!A121)=1,1,IF(COUNTIF(dropdown!C$2:C$4,all_inputs!A121)=1,2,IF(COUNTIF(dropdown!D$2:D$3,all_inputs!A121)=1,3,"?")))</f>
        <v>3</v>
      </c>
      <c r="C121" s="2" t="s">
        <v>18</v>
      </c>
      <c r="D121" s="2" t="s">
        <v>469</v>
      </c>
      <c r="E121" s="2" t="s">
        <v>460</v>
      </c>
      <c r="F121" s="2">
        <f>IF(AND(all_inputs!E121=dropdown!AA$8, COUNTIF(dropdown!AA$9:AA$19,all_inputs!A121)=1), dropdown!V$14, 1)</f>
        <v>1</v>
      </c>
      <c r="G121" s="5">
        <f>ui!B$4</f>
        <v>2025</v>
      </c>
      <c r="H121" s="5">
        <f>ui!B$5</f>
        <v>2050</v>
      </c>
      <c r="I121" s="5" t="s">
        <v>93</v>
      </c>
      <c r="J121" s="5" t="str">
        <f>VLOOKUP(ui!B$2,dropdown!M:O,3,FALSE)</f>
        <v>LIC</v>
      </c>
      <c r="K121" s="5"/>
      <c r="L121" s="5"/>
      <c r="M121" s="5"/>
      <c r="N121" s="5">
        <v>1</v>
      </c>
      <c r="O121" s="5"/>
      <c r="P121" s="5"/>
      <c r="Q121" s="5"/>
      <c r="R121" s="5">
        <v>1</v>
      </c>
      <c r="S121" s="5"/>
      <c r="T121" s="5"/>
      <c r="U121" s="5"/>
      <c r="V121" s="5"/>
      <c r="W121" s="5"/>
      <c r="X121" s="5"/>
      <c r="Y121" s="5"/>
      <c r="Z121" s="5"/>
      <c r="AA121" s="2" t="b">
        <f>VLOOKUP(all_inputs!E121,ui!A$29:B$33,2,FALSE)</f>
        <v>0</v>
      </c>
    </row>
    <row r="122" spans="1:27" hidden="1" x14ac:dyDescent="0.25">
      <c r="A122" t="s">
        <v>22</v>
      </c>
      <c r="B122">
        <f>IF(COUNTIF(dropdown!B$2:B$12,all_inputs!A122)=1,1,IF(COUNTIF(dropdown!C$2:C$4,all_inputs!A122)=1,2,IF(COUNTIF(dropdown!D$2:D$3,all_inputs!A122)=1,3,"?")))</f>
        <v>1</v>
      </c>
      <c r="C122" t="s">
        <v>13</v>
      </c>
      <c r="D122" t="s">
        <v>472</v>
      </c>
      <c r="E122" t="s">
        <v>460</v>
      </c>
      <c r="F122" s="4">
        <f>IF(AND(all_inputs!E122=dropdown!AA$8, COUNTIF(dropdown!AA$9:AA$19,all_inputs!A122)=1), dropdown!V$9, 1)</f>
        <v>1</v>
      </c>
      <c r="G122" s="4">
        <f>ui!B$4</f>
        <v>2025</v>
      </c>
      <c r="H122" s="4">
        <f>ui!B$5</f>
        <v>2050</v>
      </c>
      <c r="I122" s="4" t="s">
        <v>93</v>
      </c>
      <c r="J122" s="4" t="str">
        <f>VLOOKUP(ui!B$2,dropdown!M:O,3,FALSE)</f>
        <v>LIC</v>
      </c>
      <c r="K122" s="4"/>
      <c r="L122" s="4"/>
      <c r="M122" s="4"/>
      <c r="N122" s="4">
        <v>1</v>
      </c>
      <c r="O122" s="4"/>
      <c r="P122" s="4"/>
      <c r="Q122" s="4"/>
      <c r="R122" s="4">
        <v>1</v>
      </c>
      <c r="S122" s="4"/>
      <c r="T122" s="4"/>
      <c r="U122" s="4"/>
      <c r="V122" s="4"/>
      <c r="W122" s="4"/>
      <c r="X122" s="4"/>
      <c r="Y122" s="4"/>
      <c r="Z122" s="4"/>
      <c r="AA122" t="b">
        <f>VLOOKUP(all_inputs!E122,ui!A$29:B$33,2,FALSE)</f>
        <v>0</v>
      </c>
    </row>
    <row r="123" spans="1:27" hidden="1" x14ac:dyDescent="0.25">
      <c r="A123" t="s">
        <v>22</v>
      </c>
      <c r="B123">
        <f>IF(COUNTIF(dropdown!B$2:B$12,all_inputs!A123)=1,1,IF(COUNTIF(dropdown!C$2:C$4,all_inputs!A123)=1,2,IF(COUNTIF(dropdown!D$2:D$3,all_inputs!A123)=1,3,"?")))</f>
        <v>1</v>
      </c>
      <c r="C123" t="s">
        <v>14</v>
      </c>
      <c r="D123" t="s">
        <v>466</v>
      </c>
      <c r="E123" t="s">
        <v>460</v>
      </c>
      <c r="F123">
        <f>IF(AND(all_inputs!E123=dropdown!AA$8, COUNTIF(dropdown!AA$9:AA$19,all_inputs!A123)=1), dropdown!V$10, 1)</f>
        <v>1</v>
      </c>
      <c r="G123" s="4">
        <f>ui!B$4</f>
        <v>2025</v>
      </c>
      <c r="H123" s="4">
        <f>ui!B$5</f>
        <v>2050</v>
      </c>
      <c r="I123" s="4" t="s">
        <v>93</v>
      </c>
      <c r="J123" s="4" t="str">
        <f>VLOOKUP(ui!B$2,dropdown!M:O,3,FALSE)</f>
        <v>LIC</v>
      </c>
      <c r="K123" s="4"/>
      <c r="L123" s="4"/>
      <c r="M123" s="4"/>
      <c r="N123" s="4">
        <v>1</v>
      </c>
      <c r="O123" s="4"/>
      <c r="P123" s="4"/>
      <c r="Q123" s="4"/>
      <c r="R123" s="4">
        <v>1</v>
      </c>
      <c r="S123" s="4"/>
      <c r="T123" s="4"/>
      <c r="U123" s="4"/>
      <c r="V123" s="4"/>
      <c r="W123" s="4"/>
      <c r="X123" s="4"/>
      <c r="Y123" s="4"/>
      <c r="Z123" s="4"/>
      <c r="AA123" t="b">
        <f>VLOOKUP(all_inputs!E123,ui!A$29:B$33,2,FALSE)</f>
        <v>0</v>
      </c>
    </row>
    <row r="124" spans="1:27" hidden="1" x14ac:dyDescent="0.25">
      <c r="A124" t="s">
        <v>22</v>
      </c>
      <c r="B124">
        <f>IF(COUNTIF(dropdown!B$2:B$12,all_inputs!A124)=1,1,IF(COUNTIF(dropdown!C$2:C$4,all_inputs!A124)=1,2,IF(COUNTIF(dropdown!D$2:D$3,all_inputs!A124)=1,3,"?")))</f>
        <v>1</v>
      </c>
      <c r="C124" t="s">
        <v>15</v>
      </c>
      <c r="D124" t="s">
        <v>466</v>
      </c>
      <c r="E124" t="s">
        <v>460</v>
      </c>
      <c r="F124" s="4">
        <f>IF(AND(all_inputs!E124=dropdown!AA$8, COUNTIF(dropdown!AA$9:AA$19,all_inputs!A124)=1), dropdown!V$11, 1)</f>
        <v>1</v>
      </c>
      <c r="G124" s="4">
        <f>ui!B$4</f>
        <v>2025</v>
      </c>
      <c r="H124" s="4">
        <f>ui!B$5</f>
        <v>2050</v>
      </c>
      <c r="I124" s="4" t="s">
        <v>93</v>
      </c>
      <c r="J124" s="4" t="str">
        <f>VLOOKUP(ui!B$2,dropdown!M:O,3,FALSE)</f>
        <v>LIC</v>
      </c>
      <c r="K124" s="4"/>
      <c r="L124" s="4"/>
      <c r="M124" s="4"/>
      <c r="N124" s="4">
        <v>1</v>
      </c>
      <c r="O124" s="4"/>
      <c r="P124" s="4"/>
      <c r="Q124" s="4"/>
      <c r="R124" s="4">
        <v>1</v>
      </c>
      <c r="S124" s="4"/>
      <c r="T124" s="4"/>
      <c r="U124" s="4"/>
      <c r="V124" s="4"/>
      <c r="W124" s="4"/>
      <c r="X124" s="4"/>
      <c r="Y124" s="4"/>
      <c r="Z124" s="4"/>
      <c r="AA124" t="b">
        <f>VLOOKUP(all_inputs!E124,ui!A$29:B$33,2,FALSE)</f>
        <v>0</v>
      </c>
    </row>
    <row r="125" spans="1:27" hidden="1" x14ac:dyDescent="0.25">
      <c r="A125" t="s">
        <v>22</v>
      </c>
      <c r="B125">
        <f>IF(COUNTIF(dropdown!B$2:B$12,all_inputs!A125)=1,1,IF(COUNTIF(dropdown!C$2:C$4,all_inputs!A125)=1,2,IF(COUNTIF(dropdown!D$2:D$3,all_inputs!A125)=1,3,"?")))</f>
        <v>1</v>
      </c>
      <c r="C125" t="s">
        <v>16</v>
      </c>
      <c r="D125" t="s">
        <v>467</v>
      </c>
      <c r="E125" t="s">
        <v>460</v>
      </c>
      <c r="F125">
        <f>IF(AND(all_inputs!E125=dropdown!AA$8, COUNTIF(dropdown!AA$9:AA$19,all_inputs!A125)=1), dropdown!V$12, 1)</f>
        <v>1</v>
      </c>
      <c r="G125" s="4">
        <f>ui!B$4</f>
        <v>2025</v>
      </c>
      <c r="H125" s="4">
        <f>ui!B$5</f>
        <v>2050</v>
      </c>
      <c r="I125" s="4" t="s">
        <v>93</v>
      </c>
      <c r="J125" s="4" t="str">
        <f>VLOOKUP(ui!B$2,dropdown!M:O,3,FALSE)</f>
        <v>LIC</v>
      </c>
      <c r="K125" s="4"/>
      <c r="L125" s="4"/>
      <c r="M125" s="4"/>
      <c r="N125" s="4">
        <v>1</v>
      </c>
      <c r="O125" s="4"/>
      <c r="P125" s="4"/>
      <c r="Q125" s="4"/>
      <c r="R125" s="4">
        <v>1</v>
      </c>
      <c r="S125" s="4"/>
      <c r="T125" s="4"/>
      <c r="U125" s="4"/>
      <c r="V125" s="4"/>
      <c r="W125" s="4"/>
      <c r="X125" s="4"/>
      <c r="Y125" s="4"/>
      <c r="Z125" s="4"/>
      <c r="AA125" t="b">
        <f>VLOOKUP(all_inputs!E125,ui!A$29:B$33,2,FALSE)</f>
        <v>0</v>
      </c>
    </row>
    <row r="126" spans="1:27" hidden="1" x14ac:dyDescent="0.25">
      <c r="A126" t="s">
        <v>22</v>
      </c>
      <c r="B126">
        <f>IF(COUNTIF(dropdown!B$2:B$12,all_inputs!A126)=1,1,IF(COUNTIF(dropdown!C$2:C$4,all_inputs!A126)=1,2,IF(COUNTIF(dropdown!D$2:D$3,all_inputs!A126)=1,3,"?")))</f>
        <v>1</v>
      </c>
      <c r="C126" t="s">
        <v>17</v>
      </c>
      <c r="D126" t="s">
        <v>468</v>
      </c>
      <c r="E126" t="s">
        <v>460</v>
      </c>
      <c r="F126">
        <f>IF(AND(all_inputs!E126=dropdown!AA$8, COUNTIF(dropdown!AA$9:AA$19,all_inputs!A126)=1), dropdown!V$13, 1)</f>
        <v>1</v>
      </c>
      <c r="G126" s="4">
        <f>ui!B$4</f>
        <v>2025</v>
      </c>
      <c r="H126" s="4">
        <f>ui!B$5</f>
        <v>2050</v>
      </c>
      <c r="I126" s="4" t="s">
        <v>93</v>
      </c>
      <c r="J126" s="4" t="str">
        <f>VLOOKUP(ui!B$2,dropdown!M:O,3,FALSE)</f>
        <v>LIC</v>
      </c>
      <c r="K126" s="4"/>
      <c r="L126" s="4"/>
      <c r="M126" s="4"/>
      <c r="N126" s="4">
        <v>1</v>
      </c>
      <c r="O126" s="4"/>
      <c r="P126" s="4"/>
      <c r="Q126" s="4"/>
      <c r="R126" s="4">
        <v>1</v>
      </c>
      <c r="S126" s="4"/>
      <c r="T126" s="4"/>
      <c r="U126" s="4"/>
      <c r="V126" s="4"/>
      <c r="W126" s="4"/>
      <c r="X126" s="4"/>
      <c r="Y126" s="4"/>
      <c r="Z126" s="4"/>
      <c r="AA126" t="b">
        <f>VLOOKUP(all_inputs!E126,ui!A$29:B$33,2,FALSE)</f>
        <v>0</v>
      </c>
    </row>
    <row r="127" spans="1:27" hidden="1" x14ac:dyDescent="0.25">
      <c r="A127" s="2" t="s">
        <v>22</v>
      </c>
      <c r="B127" s="2">
        <f>IF(COUNTIF(dropdown!B$2:B$12,all_inputs!A127)=1,1,IF(COUNTIF(dropdown!C$2:C$4,all_inputs!A127)=1,2,IF(COUNTIF(dropdown!D$2:D$3,all_inputs!A127)=1,3,"?")))</f>
        <v>1</v>
      </c>
      <c r="C127" s="2" t="s">
        <v>18</v>
      </c>
      <c r="D127" s="2" t="s">
        <v>469</v>
      </c>
      <c r="E127" s="2" t="s">
        <v>460</v>
      </c>
      <c r="F127" s="2">
        <f>IF(AND(all_inputs!E127=dropdown!AA$8, COUNTIF(dropdown!AA$9:AA$19,all_inputs!A127)=1), dropdown!V$14, 1)</f>
        <v>1</v>
      </c>
      <c r="G127" s="5">
        <f>ui!B$4</f>
        <v>2025</v>
      </c>
      <c r="H127" s="5">
        <f>ui!B$5</f>
        <v>2050</v>
      </c>
      <c r="I127" s="5" t="s">
        <v>93</v>
      </c>
      <c r="J127" s="5" t="str">
        <f>VLOOKUP(ui!B$2,dropdown!M:O,3,FALSE)</f>
        <v>LIC</v>
      </c>
      <c r="K127" s="5"/>
      <c r="L127" s="5"/>
      <c r="M127" s="5"/>
      <c r="N127" s="5">
        <v>1</v>
      </c>
      <c r="O127" s="5"/>
      <c r="P127" s="5"/>
      <c r="Q127" s="5"/>
      <c r="R127" s="5">
        <v>1</v>
      </c>
      <c r="S127" s="5"/>
      <c r="T127" s="5"/>
      <c r="U127" s="5"/>
      <c r="V127" s="5"/>
      <c r="W127" s="5"/>
      <c r="X127" s="5"/>
      <c r="Y127" s="5"/>
      <c r="Z127" s="5"/>
      <c r="AA127" s="2" t="b">
        <f>VLOOKUP(all_inputs!E127,ui!A$29:B$33,2,FALSE)</f>
        <v>0</v>
      </c>
    </row>
    <row r="128" spans="1:27" hidden="1" x14ac:dyDescent="0.25">
      <c r="A128" t="s">
        <v>23</v>
      </c>
      <c r="B128">
        <f>IF(COUNTIF(dropdown!B$2:B$12,all_inputs!A128)=1,1,IF(COUNTIF(dropdown!C$2:C$4,all_inputs!A128)=1,2,IF(COUNTIF(dropdown!D$2:D$3,all_inputs!A128)=1,3,"?")))</f>
        <v>1</v>
      </c>
      <c r="C128" t="s">
        <v>13</v>
      </c>
      <c r="D128" t="s">
        <v>472</v>
      </c>
      <c r="E128" t="s">
        <v>460</v>
      </c>
      <c r="F128" s="4">
        <f>IF(AND(all_inputs!E128=dropdown!AA$8, COUNTIF(dropdown!AA$9:AA$19,all_inputs!A128)=1), dropdown!V$9, 1)</f>
        <v>1</v>
      </c>
      <c r="G128" s="4">
        <f>ui!B$4</f>
        <v>2025</v>
      </c>
      <c r="H128" s="4">
        <f>ui!B$5</f>
        <v>2050</v>
      </c>
      <c r="I128" s="4" t="s">
        <v>93</v>
      </c>
      <c r="J128" s="4" t="str">
        <f>VLOOKUP(ui!B$2,dropdown!M:O,3,FALSE)</f>
        <v>LIC</v>
      </c>
      <c r="K128" s="4"/>
      <c r="L128" s="4"/>
      <c r="M128" s="4"/>
      <c r="N128" s="4">
        <v>1</v>
      </c>
      <c r="O128" s="4"/>
      <c r="P128" s="4"/>
      <c r="Q128" s="4"/>
      <c r="R128" s="4">
        <v>1</v>
      </c>
      <c r="S128" s="4"/>
      <c r="T128" s="4"/>
      <c r="U128" s="4"/>
      <c r="V128" s="4"/>
      <c r="W128" s="4"/>
      <c r="X128" s="4"/>
      <c r="Y128" s="4"/>
      <c r="Z128" s="4"/>
      <c r="AA128" t="b">
        <f>VLOOKUP(all_inputs!E128,ui!A$29:B$33,2,FALSE)</f>
        <v>0</v>
      </c>
    </row>
    <row r="129" spans="1:27" hidden="1" x14ac:dyDescent="0.25">
      <c r="A129" t="s">
        <v>23</v>
      </c>
      <c r="B129">
        <f>IF(COUNTIF(dropdown!B$2:B$12,all_inputs!A129)=1,1,IF(COUNTIF(dropdown!C$2:C$4,all_inputs!A129)=1,2,IF(COUNTIF(dropdown!D$2:D$3,all_inputs!A129)=1,3,"?")))</f>
        <v>1</v>
      </c>
      <c r="C129" t="s">
        <v>14</v>
      </c>
      <c r="D129" t="s">
        <v>466</v>
      </c>
      <c r="E129" t="s">
        <v>460</v>
      </c>
      <c r="F129">
        <f>IF(AND(all_inputs!E129=dropdown!AA$8, COUNTIF(dropdown!AA$9:AA$19,all_inputs!A129)=1), dropdown!V$10, 1)</f>
        <v>1</v>
      </c>
      <c r="G129" s="4">
        <f>ui!B$4</f>
        <v>2025</v>
      </c>
      <c r="H129" s="4">
        <f>ui!B$5</f>
        <v>2050</v>
      </c>
      <c r="I129" s="4" t="s">
        <v>93</v>
      </c>
      <c r="J129" s="4" t="str">
        <f>VLOOKUP(ui!B$2,dropdown!M:O,3,FALSE)</f>
        <v>LIC</v>
      </c>
      <c r="K129" s="4"/>
      <c r="L129" s="4"/>
      <c r="M129" s="4"/>
      <c r="N129" s="4">
        <v>1</v>
      </c>
      <c r="O129" s="4"/>
      <c r="P129" s="4"/>
      <c r="Q129" s="4"/>
      <c r="R129" s="4">
        <v>1</v>
      </c>
      <c r="S129" s="4"/>
      <c r="T129" s="4"/>
      <c r="U129" s="4"/>
      <c r="V129" s="4"/>
      <c r="W129" s="4"/>
      <c r="X129" s="4"/>
      <c r="Y129" s="4"/>
      <c r="Z129" s="4"/>
      <c r="AA129" t="b">
        <f>VLOOKUP(all_inputs!E129,ui!A$29:B$33,2,FALSE)</f>
        <v>0</v>
      </c>
    </row>
    <row r="130" spans="1:27" hidden="1" x14ac:dyDescent="0.25">
      <c r="A130" t="s">
        <v>23</v>
      </c>
      <c r="B130">
        <f>IF(COUNTIF(dropdown!B$2:B$12,all_inputs!A130)=1,1,IF(COUNTIF(dropdown!C$2:C$4,all_inputs!A130)=1,2,IF(COUNTIF(dropdown!D$2:D$3,all_inputs!A130)=1,3,"?")))</f>
        <v>1</v>
      </c>
      <c r="C130" t="s">
        <v>15</v>
      </c>
      <c r="D130" t="s">
        <v>466</v>
      </c>
      <c r="E130" t="s">
        <v>460</v>
      </c>
      <c r="F130" s="4">
        <f>IF(AND(all_inputs!E130=dropdown!AA$8, COUNTIF(dropdown!AA$9:AA$19,all_inputs!A130)=1), dropdown!V$11, 1)</f>
        <v>1</v>
      </c>
      <c r="G130" s="4">
        <f>ui!B$4</f>
        <v>2025</v>
      </c>
      <c r="H130" s="4">
        <f>ui!B$5</f>
        <v>2050</v>
      </c>
      <c r="I130" s="4" t="s">
        <v>93</v>
      </c>
      <c r="J130" s="4" t="str">
        <f>VLOOKUP(ui!B$2,dropdown!M:O,3,FALSE)</f>
        <v>LIC</v>
      </c>
      <c r="K130" s="4"/>
      <c r="L130" s="4"/>
      <c r="M130" s="4"/>
      <c r="N130" s="4">
        <v>1</v>
      </c>
      <c r="O130" s="4"/>
      <c r="P130" s="4"/>
      <c r="Q130" s="4"/>
      <c r="R130" s="4">
        <v>1</v>
      </c>
      <c r="S130" s="4"/>
      <c r="T130" s="4"/>
      <c r="U130" s="4"/>
      <c r="V130" s="4"/>
      <c r="W130" s="4"/>
      <c r="X130" s="4"/>
      <c r="Y130" s="4"/>
      <c r="Z130" s="4"/>
      <c r="AA130" t="b">
        <f>VLOOKUP(all_inputs!E130,ui!A$29:B$33,2,FALSE)</f>
        <v>0</v>
      </c>
    </row>
    <row r="131" spans="1:27" hidden="1" x14ac:dyDescent="0.25">
      <c r="A131" t="s">
        <v>23</v>
      </c>
      <c r="B131">
        <f>IF(COUNTIF(dropdown!B$2:B$12,all_inputs!A131)=1,1,IF(COUNTIF(dropdown!C$2:C$4,all_inputs!A131)=1,2,IF(COUNTIF(dropdown!D$2:D$3,all_inputs!A131)=1,3,"?")))</f>
        <v>1</v>
      </c>
      <c r="C131" t="s">
        <v>16</v>
      </c>
      <c r="D131" t="s">
        <v>467</v>
      </c>
      <c r="E131" t="s">
        <v>460</v>
      </c>
      <c r="F131" s="4">
        <f>IF(AND(all_inputs!E131=dropdown!AA$8, COUNTIF(dropdown!AA$9:AA$19,all_inputs!A131)=1), dropdown!V$12, 1)</f>
        <v>1</v>
      </c>
      <c r="G131" s="4">
        <f>ui!B$4</f>
        <v>2025</v>
      </c>
      <c r="H131" s="4">
        <f>ui!B$5</f>
        <v>2050</v>
      </c>
      <c r="I131" s="4" t="s">
        <v>93</v>
      </c>
      <c r="J131" s="4" t="str">
        <f>VLOOKUP(ui!B$2,dropdown!M:O,3,FALSE)</f>
        <v>LIC</v>
      </c>
      <c r="K131" s="4"/>
      <c r="L131" s="4"/>
      <c r="M131" s="4"/>
      <c r="N131" s="4">
        <v>1</v>
      </c>
      <c r="O131" s="4"/>
      <c r="P131" s="4"/>
      <c r="Q131" s="4"/>
      <c r="R131" s="4">
        <v>1</v>
      </c>
      <c r="S131" s="4"/>
      <c r="T131" s="4"/>
      <c r="U131" s="4"/>
      <c r="V131" s="4"/>
      <c r="W131" s="4"/>
      <c r="X131" s="4"/>
      <c r="Y131" s="4"/>
      <c r="Z131" s="4"/>
      <c r="AA131" t="b">
        <f>VLOOKUP(all_inputs!E131,ui!A$29:B$33,2,FALSE)</f>
        <v>0</v>
      </c>
    </row>
    <row r="132" spans="1:27" hidden="1" x14ac:dyDescent="0.25">
      <c r="A132" t="s">
        <v>23</v>
      </c>
      <c r="B132">
        <f>IF(COUNTIF(dropdown!B$2:B$12,all_inputs!A132)=1,1,IF(COUNTIF(dropdown!C$2:C$4,all_inputs!A132)=1,2,IF(COUNTIF(dropdown!D$2:D$3,all_inputs!A132)=1,3,"?")))</f>
        <v>1</v>
      </c>
      <c r="C132" t="s">
        <v>17</v>
      </c>
      <c r="D132" t="s">
        <v>468</v>
      </c>
      <c r="E132" t="s">
        <v>460</v>
      </c>
      <c r="F132" s="4">
        <f>IF(AND(all_inputs!E132=dropdown!AA$8, COUNTIF(dropdown!AA$9:AA$19,all_inputs!A132)=1), dropdown!V$13, 1)</f>
        <v>1</v>
      </c>
      <c r="G132" s="4">
        <f>ui!B$4</f>
        <v>2025</v>
      </c>
      <c r="H132" s="4">
        <f>ui!B$5</f>
        <v>2050</v>
      </c>
      <c r="I132" s="4" t="s">
        <v>93</v>
      </c>
      <c r="J132" s="4" t="str">
        <f>VLOOKUP(ui!B$2,dropdown!M:O,3,FALSE)</f>
        <v>LIC</v>
      </c>
      <c r="K132" s="4"/>
      <c r="L132" s="4"/>
      <c r="M132" s="4"/>
      <c r="N132" s="4">
        <v>1</v>
      </c>
      <c r="O132" s="4"/>
      <c r="P132" s="4"/>
      <c r="Q132" s="4"/>
      <c r="R132" s="4">
        <v>1</v>
      </c>
      <c r="S132" s="4"/>
      <c r="T132" s="4"/>
      <c r="U132" s="4"/>
      <c r="V132" s="4"/>
      <c r="W132" s="4"/>
      <c r="X132" s="4"/>
      <c r="Y132" s="4"/>
      <c r="Z132" s="4"/>
      <c r="AA132" t="b">
        <f>VLOOKUP(all_inputs!E132,ui!A$29:B$33,2,FALSE)</f>
        <v>0</v>
      </c>
    </row>
    <row r="133" spans="1:27" hidden="1" x14ac:dyDescent="0.25">
      <c r="A133" s="2" t="s">
        <v>23</v>
      </c>
      <c r="B133" s="2">
        <f>IF(COUNTIF(dropdown!B$2:B$12,all_inputs!A133)=1,1,IF(COUNTIF(dropdown!C$2:C$4,all_inputs!A133)=1,2,IF(COUNTIF(dropdown!D$2:D$3,all_inputs!A133)=1,3,"?")))</f>
        <v>1</v>
      </c>
      <c r="C133" s="2" t="s">
        <v>18</v>
      </c>
      <c r="D133" s="2" t="s">
        <v>469</v>
      </c>
      <c r="E133" s="2" t="s">
        <v>460</v>
      </c>
      <c r="F133" s="2">
        <f>IF(AND(all_inputs!E133=dropdown!AA$8, COUNTIF(dropdown!AA$9:AA$19,all_inputs!A133)=1), dropdown!V$14, 1)</f>
        <v>1</v>
      </c>
      <c r="G133" s="5">
        <f>ui!B$4</f>
        <v>2025</v>
      </c>
      <c r="H133" s="5">
        <f>ui!B$5</f>
        <v>2050</v>
      </c>
      <c r="I133" s="5" t="s">
        <v>93</v>
      </c>
      <c r="J133" s="5" t="str">
        <f>VLOOKUP(ui!B$2,dropdown!M:O,3,FALSE)</f>
        <v>LIC</v>
      </c>
      <c r="K133" s="5"/>
      <c r="L133" s="5"/>
      <c r="M133" s="5"/>
      <c r="N133" s="5">
        <v>1</v>
      </c>
      <c r="O133" s="5"/>
      <c r="P133" s="5"/>
      <c r="Q133" s="5"/>
      <c r="R133" s="5">
        <v>1</v>
      </c>
      <c r="S133" s="5"/>
      <c r="T133" s="5"/>
      <c r="U133" s="5"/>
      <c r="V133" s="5"/>
      <c r="W133" s="5"/>
      <c r="X133" s="5"/>
      <c r="Y133" s="5"/>
      <c r="Z133" s="5"/>
      <c r="AA133" s="2" t="b">
        <f>VLOOKUP(all_inputs!E133,ui!A$29:B$33,2,FALSE)</f>
        <v>0</v>
      </c>
    </row>
    <row r="134" spans="1:27" hidden="1" x14ac:dyDescent="0.25">
      <c r="A134" t="s">
        <v>24</v>
      </c>
      <c r="B134">
        <f>IF(COUNTIF(dropdown!B$2:B$12,all_inputs!A134)=1,1,IF(COUNTIF(dropdown!C$2:C$4,all_inputs!A134)=1,2,IF(COUNTIF(dropdown!D$2:D$3,all_inputs!A134)=1,3,"?")))</f>
        <v>1</v>
      </c>
      <c r="C134" t="s">
        <v>13</v>
      </c>
      <c r="D134" t="s">
        <v>472</v>
      </c>
      <c r="E134" t="s">
        <v>460</v>
      </c>
      <c r="F134" s="4">
        <f>IF(AND(all_inputs!E134=dropdown!AA$8, COUNTIF(dropdown!AA$9:AA$19,all_inputs!A134)=1), dropdown!V$9, 1)</f>
        <v>1</v>
      </c>
      <c r="G134" s="4">
        <f>ui!B$4</f>
        <v>2025</v>
      </c>
      <c r="H134" s="4">
        <f>ui!B$5</f>
        <v>2050</v>
      </c>
      <c r="I134" s="4" t="s">
        <v>93</v>
      </c>
      <c r="J134" s="4" t="str">
        <f>VLOOKUP(ui!B$2,dropdown!M:O,3,FALSE)</f>
        <v>LIC</v>
      </c>
      <c r="K134" s="4"/>
      <c r="L134" s="4"/>
      <c r="M134" s="4"/>
      <c r="N134" s="4">
        <v>1</v>
      </c>
      <c r="O134" s="4"/>
      <c r="P134" s="4"/>
      <c r="Q134" s="4"/>
      <c r="R134" s="4">
        <v>1</v>
      </c>
      <c r="S134" s="4"/>
      <c r="T134" s="4"/>
      <c r="U134" s="4"/>
      <c r="V134" s="4"/>
      <c r="W134" s="4"/>
      <c r="X134" s="4"/>
      <c r="Y134" s="4"/>
      <c r="Z134" s="4"/>
      <c r="AA134" t="b">
        <f>VLOOKUP(all_inputs!E134,ui!A$29:B$33,2,FALSE)</f>
        <v>0</v>
      </c>
    </row>
    <row r="135" spans="1:27" hidden="1" x14ac:dyDescent="0.25">
      <c r="A135" t="s">
        <v>24</v>
      </c>
      <c r="B135">
        <f>IF(COUNTIF(dropdown!B$2:B$12,all_inputs!A135)=1,1,IF(COUNTIF(dropdown!C$2:C$4,all_inputs!A135)=1,2,IF(COUNTIF(dropdown!D$2:D$3,all_inputs!A135)=1,3,"?")))</f>
        <v>1</v>
      </c>
      <c r="C135" t="s">
        <v>14</v>
      </c>
      <c r="D135" t="s">
        <v>466</v>
      </c>
      <c r="E135" t="s">
        <v>460</v>
      </c>
      <c r="F135">
        <f>IF(AND(all_inputs!E135=dropdown!AA$8, COUNTIF(dropdown!AA$9:AA$19,all_inputs!A135)=1), dropdown!V$10, 1)</f>
        <v>1</v>
      </c>
      <c r="G135" s="4">
        <f>ui!B$4</f>
        <v>2025</v>
      </c>
      <c r="H135" s="4">
        <f>ui!B$5</f>
        <v>2050</v>
      </c>
      <c r="I135" s="4" t="s">
        <v>93</v>
      </c>
      <c r="J135" s="4" t="str">
        <f>VLOOKUP(ui!B$2,dropdown!M:O,3,FALSE)</f>
        <v>LIC</v>
      </c>
      <c r="K135" s="4"/>
      <c r="L135" s="4"/>
      <c r="M135" s="4"/>
      <c r="N135" s="4">
        <v>1</v>
      </c>
      <c r="O135" s="4"/>
      <c r="P135" s="4"/>
      <c r="Q135" s="4"/>
      <c r="R135" s="4">
        <v>1</v>
      </c>
      <c r="S135" s="4"/>
      <c r="T135" s="4"/>
      <c r="U135" s="4"/>
      <c r="V135" s="4"/>
      <c r="W135" s="4"/>
      <c r="X135" s="4"/>
      <c r="Y135" s="4"/>
      <c r="Z135" s="4"/>
      <c r="AA135" t="b">
        <f>VLOOKUP(all_inputs!E135,ui!A$29:B$33,2,FALSE)</f>
        <v>0</v>
      </c>
    </row>
    <row r="136" spans="1:27" hidden="1" x14ac:dyDescent="0.25">
      <c r="A136" t="s">
        <v>24</v>
      </c>
      <c r="B136">
        <f>IF(COUNTIF(dropdown!B$2:B$12,all_inputs!A136)=1,1,IF(COUNTIF(dropdown!C$2:C$4,all_inputs!A136)=1,2,IF(COUNTIF(dropdown!D$2:D$3,all_inputs!A136)=1,3,"?")))</f>
        <v>1</v>
      </c>
      <c r="C136" t="s">
        <v>15</v>
      </c>
      <c r="D136" t="s">
        <v>466</v>
      </c>
      <c r="E136" t="s">
        <v>460</v>
      </c>
      <c r="F136" s="4">
        <f>IF(AND(all_inputs!E136=dropdown!AA$8, COUNTIF(dropdown!AA$9:AA$19,all_inputs!A136)=1), dropdown!V$11, 1)</f>
        <v>1</v>
      </c>
      <c r="G136" s="4">
        <f>ui!B$4</f>
        <v>2025</v>
      </c>
      <c r="H136" s="4">
        <f>ui!B$5</f>
        <v>2050</v>
      </c>
      <c r="I136" s="4" t="s">
        <v>93</v>
      </c>
      <c r="J136" s="4" t="str">
        <f>VLOOKUP(ui!B$2,dropdown!M:O,3,FALSE)</f>
        <v>LIC</v>
      </c>
      <c r="K136" s="4"/>
      <c r="L136" s="4"/>
      <c r="M136" s="4"/>
      <c r="N136" s="4">
        <v>1</v>
      </c>
      <c r="O136" s="4"/>
      <c r="P136" s="4"/>
      <c r="Q136" s="4"/>
      <c r="R136" s="4">
        <v>1</v>
      </c>
      <c r="S136" s="4"/>
      <c r="T136" s="4"/>
      <c r="U136" s="4"/>
      <c r="V136" s="4"/>
      <c r="W136" s="4"/>
      <c r="X136" s="4"/>
      <c r="Y136" s="4"/>
      <c r="Z136" s="4"/>
      <c r="AA136" t="b">
        <f>VLOOKUP(all_inputs!E136,ui!A$29:B$33,2,FALSE)</f>
        <v>0</v>
      </c>
    </row>
    <row r="137" spans="1:27" hidden="1" x14ac:dyDescent="0.25">
      <c r="A137" t="s">
        <v>24</v>
      </c>
      <c r="B137">
        <f>IF(COUNTIF(dropdown!B$2:B$12,all_inputs!A137)=1,1,IF(COUNTIF(dropdown!C$2:C$4,all_inputs!A137)=1,2,IF(COUNTIF(dropdown!D$2:D$3,all_inputs!A137)=1,3,"?")))</f>
        <v>1</v>
      </c>
      <c r="C137" t="s">
        <v>16</v>
      </c>
      <c r="D137" t="s">
        <v>467</v>
      </c>
      <c r="E137" t="s">
        <v>460</v>
      </c>
      <c r="F137">
        <f>IF(AND(all_inputs!E137=dropdown!AA$8, COUNTIF(dropdown!AA$9:AA$19,all_inputs!A137)=1), dropdown!V$12, 1)</f>
        <v>1</v>
      </c>
      <c r="G137" s="4">
        <f>ui!B$4</f>
        <v>2025</v>
      </c>
      <c r="H137" s="4">
        <f>ui!B$5</f>
        <v>2050</v>
      </c>
      <c r="I137" s="4" t="s">
        <v>93</v>
      </c>
      <c r="J137" s="4" t="str">
        <f>VLOOKUP(ui!B$2,dropdown!M:O,3,FALSE)</f>
        <v>LIC</v>
      </c>
      <c r="K137" s="4"/>
      <c r="L137" s="4"/>
      <c r="M137" s="4"/>
      <c r="N137" s="4">
        <v>1</v>
      </c>
      <c r="O137" s="4"/>
      <c r="P137" s="4"/>
      <c r="Q137" s="4"/>
      <c r="R137" s="4">
        <v>1</v>
      </c>
      <c r="S137" s="4"/>
      <c r="T137" s="4"/>
      <c r="U137" s="4"/>
      <c r="V137" s="4"/>
      <c r="W137" s="4"/>
      <c r="X137" s="4"/>
      <c r="Y137" s="4"/>
      <c r="Z137" s="4"/>
      <c r="AA137" t="b">
        <f>VLOOKUP(all_inputs!E137,ui!A$29:B$33,2,FALSE)</f>
        <v>0</v>
      </c>
    </row>
    <row r="138" spans="1:27" hidden="1" x14ac:dyDescent="0.25">
      <c r="A138" t="s">
        <v>24</v>
      </c>
      <c r="B138">
        <f>IF(COUNTIF(dropdown!B$2:B$12,all_inputs!A138)=1,1,IF(COUNTIF(dropdown!C$2:C$4,all_inputs!A138)=1,2,IF(COUNTIF(dropdown!D$2:D$3,all_inputs!A138)=1,3,"?")))</f>
        <v>1</v>
      </c>
      <c r="C138" t="s">
        <v>17</v>
      </c>
      <c r="D138" t="s">
        <v>468</v>
      </c>
      <c r="E138" t="s">
        <v>460</v>
      </c>
      <c r="F138">
        <f>IF(AND(all_inputs!E138=dropdown!AA$8, COUNTIF(dropdown!AA$9:AA$19,all_inputs!A138)=1), dropdown!V$13, 1)</f>
        <v>1</v>
      </c>
      <c r="G138" s="4">
        <f>ui!B$4</f>
        <v>2025</v>
      </c>
      <c r="H138" s="4">
        <f>ui!B$5</f>
        <v>2050</v>
      </c>
      <c r="I138" s="4" t="s">
        <v>93</v>
      </c>
      <c r="J138" s="4" t="str">
        <f>VLOOKUP(ui!B$2,dropdown!M:O,3,FALSE)</f>
        <v>LIC</v>
      </c>
      <c r="K138" s="4"/>
      <c r="L138" s="4"/>
      <c r="M138" s="4"/>
      <c r="N138" s="4">
        <v>1</v>
      </c>
      <c r="O138" s="4"/>
      <c r="P138" s="4"/>
      <c r="Q138" s="4"/>
      <c r="R138" s="4">
        <v>1</v>
      </c>
      <c r="S138" s="4"/>
      <c r="T138" s="4"/>
      <c r="U138" s="4"/>
      <c r="V138" s="4"/>
      <c r="W138" s="4"/>
      <c r="X138" s="4"/>
      <c r="Y138" s="4"/>
      <c r="Z138" s="4"/>
      <c r="AA138" t="b">
        <f>VLOOKUP(all_inputs!E138,ui!A$29:B$33,2,FALSE)</f>
        <v>0</v>
      </c>
    </row>
    <row r="139" spans="1:27" hidden="1" x14ac:dyDescent="0.25">
      <c r="A139" s="2" t="s">
        <v>24</v>
      </c>
      <c r="B139" s="2">
        <f>IF(COUNTIF(dropdown!B$2:B$12,all_inputs!A139)=1,1,IF(COUNTIF(dropdown!C$2:C$4,all_inputs!A139)=1,2,IF(COUNTIF(dropdown!D$2:D$3,all_inputs!A139)=1,3,"?")))</f>
        <v>1</v>
      </c>
      <c r="C139" s="2" t="s">
        <v>18</v>
      </c>
      <c r="D139" s="2" t="s">
        <v>469</v>
      </c>
      <c r="E139" s="2" t="s">
        <v>460</v>
      </c>
      <c r="F139" s="2">
        <f>IF(AND(all_inputs!E139=dropdown!AA$8, COUNTIF(dropdown!AA$9:AA$19,all_inputs!A139)=1), dropdown!V$14, 1)</f>
        <v>1</v>
      </c>
      <c r="G139" s="5">
        <f>ui!B$4</f>
        <v>2025</v>
      </c>
      <c r="H139" s="5">
        <f>ui!B$5</f>
        <v>2050</v>
      </c>
      <c r="I139" s="5" t="s">
        <v>93</v>
      </c>
      <c r="J139" s="5" t="str">
        <f>VLOOKUP(ui!B$2,dropdown!M:O,3,FALSE)</f>
        <v>LIC</v>
      </c>
      <c r="K139" s="5"/>
      <c r="L139" s="5"/>
      <c r="M139" s="5"/>
      <c r="N139" s="5">
        <v>1</v>
      </c>
      <c r="O139" s="5"/>
      <c r="P139" s="5"/>
      <c r="Q139" s="5"/>
      <c r="R139" s="5">
        <v>1</v>
      </c>
      <c r="S139" s="5"/>
      <c r="T139" s="5"/>
      <c r="U139" s="5"/>
      <c r="V139" s="5"/>
      <c r="W139" s="5"/>
      <c r="X139" s="5"/>
      <c r="Y139" s="5"/>
      <c r="Z139" s="5"/>
      <c r="AA139" s="2" t="b">
        <f>VLOOKUP(all_inputs!E139,ui!A$29:B$33,2,FALSE)</f>
        <v>0</v>
      </c>
    </row>
    <row r="140" spans="1:27" hidden="1" x14ac:dyDescent="0.25">
      <c r="A140" t="s">
        <v>25</v>
      </c>
      <c r="B140">
        <f>IF(COUNTIF(dropdown!B$2:B$12,all_inputs!A140)=1,1,IF(COUNTIF(dropdown!C$2:C$4,all_inputs!A140)=1,2,IF(COUNTIF(dropdown!D$2:D$3,all_inputs!A140)=1,3,"?")))</f>
        <v>1</v>
      </c>
      <c r="C140" t="s">
        <v>13</v>
      </c>
      <c r="D140" t="s">
        <v>472</v>
      </c>
      <c r="E140" t="s">
        <v>460</v>
      </c>
      <c r="F140" s="4">
        <f>IF(AND(all_inputs!E140=dropdown!AA$8, COUNTIF(dropdown!AA$9:AA$19,all_inputs!A140)=1), dropdown!V$9, 1)</f>
        <v>1</v>
      </c>
      <c r="G140" s="4">
        <f>ui!B$4</f>
        <v>2025</v>
      </c>
      <c r="H140" s="4">
        <f>ui!B$5</f>
        <v>2050</v>
      </c>
      <c r="I140" s="4" t="s">
        <v>93</v>
      </c>
      <c r="J140" s="4" t="str">
        <f>VLOOKUP(ui!B$2,dropdown!M:O,3,FALSE)</f>
        <v>LIC</v>
      </c>
      <c r="K140" s="4"/>
      <c r="L140" s="4"/>
      <c r="M140" s="4"/>
      <c r="N140" s="4">
        <v>1</v>
      </c>
      <c r="O140" s="4"/>
      <c r="P140" s="4"/>
      <c r="Q140" s="4"/>
      <c r="R140" s="4">
        <v>1</v>
      </c>
      <c r="S140" s="4"/>
      <c r="T140" s="4"/>
      <c r="U140" s="4"/>
      <c r="V140" s="4"/>
      <c r="W140" s="4"/>
      <c r="X140" s="4"/>
      <c r="Y140" s="4"/>
      <c r="Z140" s="4"/>
      <c r="AA140" t="b">
        <f>VLOOKUP(all_inputs!E140,ui!A$29:B$33,2,FALSE)</f>
        <v>0</v>
      </c>
    </row>
    <row r="141" spans="1:27" hidden="1" x14ac:dyDescent="0.25">
      <c r="A141" t="s">
        <v>25</v>
      </c>
      <c r="B141">
        <f>IF(COUNTIF(dropdown!B$2:B$12,all_inputs!A141)=1,1,IF(COUNTIF(dropdown!C$2:C$4,all_inputs!A141)=1,2,IF(COUNTIF(dropdown!D$2:D$3,all_inputs!A141)=1,3,"?")))</f>
        <v>1</v>
      </c>
      <c r="C141" t="s">
        <v>14</v>
      </c>
      <c r="D141" t="s">
        <v>466</v>
      </c>
      <c r="E141" t="s">
        <v>460</v>
      </c>
      <c r="F141">
        <f>IF(AND(all_inputs!E141=dropdown!AA$8, COUNTIF(dropdown!AA$9:AA$19,all_inputs!A141)=1), dropdown!V$10, 1)</f>
        <v>1</v>
      </c>
      <c r="G141" s="4">
        <f>ui!B$4</f>
        <v>2025</v>
      </c>
      <c r="H141" s="4">
        <f>ui!B$5</f>
        <v>2050</v>
      </c>
      <c r="I141" s="4" t="s">
        <v>93</v>
      </c>
      <c r="J141" s="4" t="str">
        <f>VLOOKUP(ui!B$2,dropdown!M:O,3,FALSE)</f>
        <v>LIC</v>
      </c>
      <c r="K141" s="4"/>
      <c r="L141" s="4"/>
      <c r="M141" s="4"/>
      <c r="N141" s="4">
        <v>1</v>
      </c>
      <c r="O141" s="4"/>
      <c r="P141" s="4"/>
      <c r="Q141" s="4"/>
      <c r="R141" s="4">
        <v>1</v>
      </c>
      <c r="S141" s="4"/>
      <c r="T141" s="4"/>
      <c r="U141" s="4"/>
      <c r="V141" s="4"/>
      <c r="W141" s="4"/>
      <c r="X141" s="4"/>
      <c r="Y141" s="4"/>
      <c r="Z141" s="4"/>
      <c r="AA141" t="b">
        <f>VLOOKUP(all_inputs!E141,ui!A$29:B$33,2,FALSE)</f>
        <v>0</v>
      </c>
    </row>
    <row r="142" spans="1:27" hidden="1" x14ac:dyDescent="0.25">
      <c r="A142" t="s">
        <v>25</v>
      </c>
      <c r="B142">
        <f>IF(COUNTIF(dropdown!B$2:B$12,all_inputs!A142)=1,1,IF(COUNTIF(dropdown!C$2:C$4,all_inputs!A142)=1,2,IF(COUNTIF(dropdown!D$2:D$3,all_inputs!A142)=1,3,"?")))</f>
        <v>1</v>
      </c>
      <c r="C142" t="s">
        <v>15</v>
      </c>
      <c r="D142" t="s">
        <v>466</v>
      </c>
      <c r="E142" t="s">
        <v>460</v>
      </c>
      <c r="F142" s="4">
        <f>IF(AND(all_inputs!E142=dropdown!AA$8, COUNTIF(dropdown!AA$9:AA$19,all_inputs!A142)=1), dropdown!V$11, 1)</f>
        <v>1</v>
      </c>
      <c r="G142" s="4">
        <f>ui!B$4</f>
        <v>2025</v>
      </c>
      <c r="H142" s="4">
        <f>ui!B$5</f>
        <v>2050</v>
      </c>
      <c r="I142" s="4" t="s">
        <v>93</v>
      </c>
      <c r="J142" s="4" t="str">
        <f>VLOOKUP(ui!B$2,dropdown!M:O,3,FALSE)</f>
        <v>LIC</v>
      </c>
      <c r="K142" s="4"/>
      <c r="L142" s="4"/>
      <c r="M142" s="4"/>
      <c r="N142" s="4">
        <v>1</v>
      </c>
      <c r="O142" s="4"/>
      <c r="P142" s="4"/>
      <c r="Q142" s="4"/>
      <c r="R142" s="4">
        <v>1</v>
      </c>
      <c r="S142" s="4"/>
      <c r="T142" s="4"/>
      <c r="U142" s="4"/>
      <c r="V142" s="4"/>
      <c r="W142" s="4"/>
      <c r="X142" s="4"/>
      <c r="Y142" s="4"/>
      <c r="Z142" s="4"/>
      <c r="AA142" t="b">
        <f>VLOOKUP(all_inputs!E142,ui!A$29:B$33,2,FALSE)</f>
        <v>0</v>
      </c>
    </row>
    <row r="143" spans="1:27" hidden="1" x14ac:dyDescent="0.25">
      <c r="A143" t="s">
        <v>25</v>
      </c>
      <c r="B143">
        <f>IF(COUNTIF(dropdown!B$2:B$12,all_inputs!A143)=1,1,IF(COUNTIF(dropdown!C$2:C$4,all_inputs!A143)=1,2,IF(COUNTIF(dropdown!D$2:D$3,all_inputs!A143)=1,3,"?")))</f>
        <v>1</v>
      </c>
      <c r="C143" t="s">
        <v>16</v>
      </c>
      <c r="D143" t="s">
        <v>467</v>
      </c>
      <c r="E143" t="s">
        <v>460</v>
      </c>
      <c r="F143" s="4">
        <f>IF(AND(all_inputs!E143=dropdown!AA$8, COUNTIF(dropdown!AA$9:AA$19,all_inputs!A143)=1), dropdown!V$12, 1)</f>
        <v>1</v>
      </c>
      <c r="G143" s="4">
        <f>ui!B$4</f>
        <v>2025</v>
      </c>
      <c r="H143" s="4">
        <f>ui!B$5</f>
        <v>2050</v>
      </c>
      <c r="I143" s="4" t="s">
        <v>93</v>
      </c>
      <c r="J143" s="4" t="str">
        <f>VLOOKUP(ui!B$2,dropdown!M:O,3,FALSE)</f>
        <v>LIC</v>
      </c>
      <c r="K143" s="4"/>
      <c r="L143" s="4"/>
      <c r="M143" s="4"/>
      <c r="N143" s="4">
        <v>1</v>
      </c>
      <c r="O143" s="4"/>
      <c r="P143" s="4"/>
      <c r="Q143" s="4"/>
      <c r="R143" s="4">
        <v>1</v>
      </c>
      <c r="S143" s="4"/>
      <c r="T143" s="4"/>
      <c r="U143" s="4"/>
      <c r="V143" s="4"/>
      <c r="W143" s="4"/>
      <c r="X143" s="4"/>
      <c r="Y143" s="4"/>
      <c r="Z143" s="4"/>
      <c r="AA143" t="b">
        <f>VLOOKUP(all_inputs!E143,ui!A$29:B$33,2,FALSE)</f>
        <v>0</v>
      </c>
    </row>
    <row r="144" spans="1:27" hidden="1" x14ac:dyDescent="0.25">
      <c r="A144" t="s">
        <v>25</v>
      </c>
      <c r="B144">
        <f>IF(COUNTIF(dropdown!B$2:B$12,all_inputs!A144)=1,1,IF(COUNTIF(dropdown!C$2:C$4,all_inputs!A144)=1,2,IF(COUNTIF(dropdown!D$2:D$3,all_inputs!A144)=1,3,"?")))</f>
        <v>1</v>
      </c>
      <c r="C144" t="s">
        <v>17</v>
      </c>
      <c r="D144" t="s">
        <v>468</v>
      </c>
      <c r="E144" t="s">
        <v>460</v>
      </c>
      <c r="F144" s="4">
        <f>IF(AND(all_inputs!E144=dropdown!AA$8, COUNTIF(dropdown!AA$9:AA$19,all_inputs!A144)=1), dropdown!V$13, 1)</f>
        <v>1</v>
      </c>
      <c r="G144" s="4">
        <f>ui!B$4</f>
        <v>2025</v>
      </c>
      <c r="H144" s="4">
        <f>ui!B$5</f>
        <v>2050</v>
      </c>
      <c r="I144" s="4" t="s">
        <v>93</v>
      </c>
      <c r="J144" s="4" t="str">
        <f>VLOOKUP(ui!B$2,dropdown!M:O,3,FALSE)</f>
        <v>LIC</v>
      </c>
      <c r="K144" s="4"/>
      <c r="L144" s="4"/>
      <c r="M144" s="4"/>
      <c r="N144" s="4">
        <v>1</v>
      </c>
      <c r="O144" s="4"/>
      <c r="P144" s="4"/>
      <c r="Q144" s="4"/>
      <c r="R144" s="4">
        <v>1</v>
      </c>
      <c r="S144" s="4"/>
      <c r="T144" s="4"/>
      <c r="U144" s="4"/>
      <c r="V144" s="4"/>
      <c r="W144" s="4"/>
      <c r="X144" s="4"/>
      <c r="Y144" s="4"/>
      <c r="Z144" s="4"/>
      <c r="AA144" t="b">
        <f>VLOOKUP(all_inputs!E144,ui!A$29:B$33,2,FALSE)</f>
        <v>0</v>
      </c>
    </row>
    <row r="145" spans="1:27" hidden="1" x14ac:dyDescent="0.25">
      <c r="A145" s="2" t="s">
        <v>25</v>
      </c>
      <c r="B145" s="2">
        <f>IF(COUNTIF(dropdown!B$2:B$12,all_inputs!A145)=1,1,IF(COUNTIF(dropdown!C$2:C$4,all_inputs!A145)=1,2,IF(COUNTIF(dropdown!D$2:D$3,all_inputs!A145)=1,3,"?")))</f>
        <v>1</v>
      </c>
      <c r="C145" s="2" t="s">
        <v>18</v>
      </c>
      <c r="D145" s="2" t="s">
        <v>469</v>
      </c>
      <c r="E145" s="2" t="s">
        <v>460</v>
      </c>
      <c r="F145" s="2">
        <f>IF(AND(all_inputs!E145=dropdown!AA$8, COUNTIF(dropdown!AA$9:AA$19,all_inputs!A145)=1), dropdown!V$14, 1)</f>
        <v>1</v>
      </c>
      <c r="G145" s="5">
        <f>ui!B$4</f>
        <v>2025</v>
      </c>
      <c r="H145" s="5">
        <f>ui!B$5</f>
        <v>2050</v>
      </c>
      <c r="I145" s="5" t="s">
        <v>93</v>
      </c>
      <c r="J145" s="5" t="str">
        <f>VLOOKUP(ui!B$2,dropdown!M:O,3,FALSE)</f>
        <v>LIC</v>
      </c>
      <c r="K145" s="5"/>
      <c r="L145" s="5"/>
      <c r="M145" s="5"/>
      <c r="N145" s="5">
        <v>1</v>
      </c>
      <c r="O145" s="5"/>
      <c r="P145" s="5"/>
      <c r="Q145" s="5"/>
      <c r="R145" s="5">
        <v>1</v>
      </c>
      <c r="S145" s="5"/>
      <c r="T145" s="5"/>
      <c r="U145" s="5"/>
      <c r="V145" s="5"/>
      <c r="W145" s="5"/>
      <c r="X145" s="5"/>
      <c r="Y145" s="5"/>
      <c r="Z145" s="5"/>
      <c r="AA145" s="2" t="b">
        <f>VLOOKUP(all_inputs!E145,ui!A$29:B$33,2,FALSE)</f>
        <v>0</v>
      </c>
    </row>
    <row r="146" spans="1:27" hidden="1" x14ac:dyDescent="0.25">
      <c r="A146" t="s">
        <v>26</v>
      </c>
      <c r="B146">
        <f>IF(COUNTIF(dropdown!B$2:B$12,all_inputs!A146)=1,1,IF(COUNTIF(dropdown!C$2:C$4,all_inputs!A146)=1,2,IF(COUNTIF(dropdown!D$2:D$3,all_inputs!A146)=1,3,"?")))</f>
        <v>1</v>
      </c>
      <c r="C146" t="s">
        <v>13</v>
      </c>
      <c r="D146" t="s">
        <v>472</v>
      </c>
      <c r="E146" t="s">
        <v>460</v>
      </c>
      <c r="F146" s="4">
        <f>IF(AND(all_inputs!E146=dropdown!AA$8, COUNTIF(dropdown!AA$9:AA$19,all_inputs!A146)=1), dropdown!V$9, 1)</f>
        <v>1</v>
      </c>
      <c r="G146" s="4">
        <f>ui!B$4</f>
        <v>2025</v>
      </c>
      <c r="H146" s="4">
        <f>ui!B$5</f>
        <v>2050</v>
      </c>
      <c r="I146" s="4" t="s">
        <v>93</v>
      </c>
      <c r="J146" s="4" t="str">
        <f>VLOOKUP(ui!B$2,dropdown!M:O,3,FALSE)</f>
        <v>LIC</v>
      </c>
      <c r="K146" s="4"/>
      <c r="L146" s="4"/>
      <c r="M146" s="4"/>
      <c r="N146" s="4">
        <v>1</v>
      </c>
      <c r="O146" s="4"/>
      <c r="P146" s="4"/>
      <c r="Q146" s="4"/>
      <c r="R146" s="4">
        <v>1</v>
      </c>
      <c r="S146" s="4"/>
      <c r="T146" s="4"/>
      <c r="U146" s="4"/>
      <c r="V146" s="4"/>
      <c r="W146" s="4"/>
      <c r="X146" s="4"/>
      <c r="Y146" s="4"/>
      <c r="Z146" s="4"/>
      <c r="AA146" t="b">
        <f>VLOOKUP(all_inputs!E146,ui!A$29:B$33,2,FALSE)</f>
        <v>0</v>
      </c>
    </row>
    <row r="147" spans="1:27" hidden="1" x14ac:dyDescent="0.25">
      <c r="A147" t="s">
        <v>26</v>
      </c>
      <c r="B147">
        <f>IF(COUNTIF(dropdown!B$2:B$12,all_inputs!A147)=1,1,IF(COUNTIF(dropdown!C$2:C$4,all_inputs!A147)=1,2,IF(COUNTIF(dropdown!D$2:D$3,all_inputs!A147)=1,3,"?")))</f>
        <v>1</v>
      </c>
      <c r="C147" t="s">
        <v>14</v>
      </c>
      <c r="D147" t="s">
        <v>466</v>
      </c>
      <c r="E147" t="s">
        <v>460</v>
      </c>
      <c r="F147">
        <f>IF(AND(all_inputs!E147=dropdown!AA$8, COUNTIF(dropdown!AA$9:AA$19,all_inputs!A147)=1), dropdown!V$10, 1)</f>
        <v>1</v>
      </c>
      <c r="G147" s="4">
        <f>ui!B$4</f>
        <v>2025</v>
      </c>
      <c r="H147" s="4">
        <f>ui!B$5</f>
        <v>2050</v>
      </c>
      <c r="I147" s="4" t="s">
        <v>93</v>
      </c>
      <c r="J147" s="4" t="str">
        <f>VLOOKUP(ui!B$2,dropdown!M:O,3,FALSE)</f>
        <v>LIC</v>
      </c>
      <c r="K147" s="4"/>
      <c r="L147" s="4"/>
      <c r="M147" s="4"/>
      <c r="N147" s="4">
        <v>1</v>
      </c>
      <c r="O147" s="4"/>
      <c r="P147" s="4"/>
      <c r="Q147" s="4"/>
      <c r="R147" s="4">
        <v>1</v>
      </c>
      <c r="S147" s="4"/>
      <c r="T147" s="4"/>
      <c r="U147" s="4"/>
      <c r="V147" s="4"/>
      <c r="W147" s="4"/>
      <c r="X147" s="4"/>
      <c r="Y147" s="4"/>
      <c r="Z147" s="4"/>
      <c r="AA147" t="b">
        <f>VLOOKUP(all_inputs!E147,ui!A$29:B$33,2,FALSE)</f>
        <v>0</v>
      </c>
    </row>
    <row r="148" spans="1:27" hidden="1" x14ac:dyDescent="0.25">
      <c r="A148" t="s">
        <v>26</v>
      </c>
      <c r="B148">
        <f>IF(COUNTIF(dropdown!B$2:B$12,all_inputs!A148)=1,1,IF(COUNTIF(dropdown!C$2:C$4,all_inputs!A148)=1,2,IF(COUNTIF(dropdown!D$2:D$3,all_inputs!A148)=1,3,"?")))</f>
        <v>1</v>
      </c>
      <c r="C148" t="s">
        <v>15</v>
      </c>
      <c r="D148" t="s">
        <v>466</v>
      </c>
      <c r="E148" t="s">
        <v>460</v>
      </c>
      <c r="F148" s="4">
        <f>IF(AND(all_inputs!E148=dropdown!AA$8, COUNTIF(dropdown!AA$9:AA$19,all_inputs!A148)=1), dropdown!V$11, 1)</f>
        <v>1</v>
      </c>
      <c r="G148" s="4">
        <f>ui!B$4</f>
        <v>2025</v>
      </c>
      <c r="H148" s="4">
        <f>ui!B$5</f>
        <v>2050</v>
      </c>
      <c r="I148" s="4" t="s">
        <v>93</v>
      </c>
      <c r="J148" s="4" t="str">
        <f>VLOOKUP(ui!B$2,dropdown!M:O,3,FALSE)</f>
        <v>LIC</v>
      </c>
      <c r="K148" s="4"/>
      <c r="L148" s="4"/>
      <c r="M148" s="4"/>
      <c r="N148" s="4">
        <v>1</v>
      </c>
      <c r="O148" s="4"/>
      <c r="P148" s="4"/>
      <c r="Q148" s="4"/>
      <c r="R148" s="4">
        <v>1</v>
      </c>
      <c r="S148" s="4"/>
      <c r="T148" s="4"/>
      <c r="U148" s="4"/>
      <c r="V148" s="4"/>
      <c r="W148" s="4"/>
      <c r="X148" s="4"/>
      <c r="Y148" s="4"/>
      <c r="Z148" s="4"/>
      <c r="AA148" t="b">
        <f>VLOOKUP(all_inputs!E148,ui!A$29:B$33,2,FALSE)</f>
        <v>0</v>
      </c>
    </row>
    <row r="149" spans="1:27" hidden="1" x14ac:dyDescent="0.25">
      <c r="A149" t="s">
        <v>26</v>
      </c>
      <c r="B149">
        <f>IF(COUNTIF(dropdown!B$2:B$12,all_inputs!A149)=1,1,IF(COUNTIF(dropdown!C$2:C$4,all_inputs!A149)=1,2,IF(COUNTIF(dropdown!D$2:D$3,all_inputs!A149)=1,3,"?")))</f>
        <v>1</v>
      </c>
      <c r="C149" t="s">
        <v>16</v>
      </c>
      <c r="D149" t="s">
        <v>467</v>
      </c>
      <c r="E149" t="s">
        <v>460</v>
      </c>
      <c r="F149" s="4">
        <f>IF(AND(all_inputs!E149=dropdown!AA$8, COUNTIF(dropdown!AA$9:AA$19,all_inputs!A149)=1), dropdown!V$12, 1)</f>
        <v>1</v>
      </c>
      <c r="G149" s="4">
        <f>ui!B$4</f>
        <v>2025</v>
      </c>
      <c r="H149" s="4">
        <f>ui!B$5</f>
        <v>2050</v>
      </c>
      <c r="I149" s="4" t="s">
        <v>93</v>
      </c>
      <c r="J149" s="4" t="str">
        <f>VLOOKUP(ui!B$2,dropdown!M:O,3,FALSE)</f>
        <v>LIC</v>
      </c>
      <c r="K149" s="4"/>
      <c r="L149" s="4"/>
      <c r="M149" s="4"/>
      <c r="N149" s="4">
        <v>1</v>
      </c>
      <c r="O149" s="4"/>
      <c r="P149" s="4"/>
      <c r="Q149" s="4"/>
      <c r="R149" s="4">
        <v>1</v>
      </c>
      <c r="S149" s="4"/>
      <c r="T149" s="4"/>
      <c r="U149" s="4"/>
      <c r="V149" s="4"/>
      <c r="W149" s="4"/>
      <c r="X149" s="4"/>
      <c r="Y149" s="4"/>
      <c r="Z149" s="4"/>
      <c r="AA149" t="b">
        <f>VLOOKUP(all_inputs!E149,ui!A$29:B$33,2,FALSE)</f>
        <v>0</v>
      </c>
    </row>
    <row r="150" spans="1:27" hidden="1" x14ac:dyDescent="0.25">
      <c r="A150" t="s">
        <v>26</v>
      </c>
      <c r="B150">
        <f>IF(COUNTIF(dropdown!B$2:B$12,all_inputs!A150)=1,1,IF(COUNTIF(dropdown!C$2:C$4,all_inputs!A150)=1,2,IF(COUNTIF(dropdown!D$2:D$3,all_inputs!A150)=1,3,"?")))</f>
        <v>1</v>
      </c>
      <c r="C150" t="s">
        <v>17</v>
      </c>
      <c r="D150" t="s">
        <v>468</v>
      </c>
      <c r="E150" t="s">
        <v>460</v>
      </c>
      <c r="F150" s="4">
        <f>IF(AND(all_inputs!E150=dropdown!AA$8, COUNTIF(dropdown!AA$9:AA$19,all_inputs!A150)=1), dropdown!V$13, 1)</f>
        <v>1</v>
      </c>
      <c r="G150" s="4">
        <f>ui!B$4</f>
        <v>2025</v>
      </c>
      <c r="H150" s="4">
        <f>ui!B$5</f>
        <v>2050</v>
      </c>
      <c r="I150" s="4" t="s">
        <v>93</v>
      </c>
      <c r="J150" s="4" t="str">
        <f>VLOOKUP(ui!B$2,dropdown!M:O,3,FALSE)</f>
        <v>LIC</v>
      </c>
      <c r="K150" s="4"/>
      <c r="L150" s="4"/>
      <c r="M150" s="4"/>
      <c r="N150" s="4">
        <v>1</v>
      </c>
      <c r="O150" s="4"/>
      <c r="P150" s="4"/>
      <c r="Q150" s="4"/>
      <c r="R150" s="4">
        <v>1</v>
      </c>
      <c r="S150" s="4"/>
      <c r="T150" s="4"/>
      <c r="U150" s="4"/>
      <c r="V150" s="4"/>
      <c r="W150" s="4"/>
      <c r="X150" s="4"/>
      <c r="Y150" s="4"/>
      <c r="Z150" s="4"/>
      <c r="AA150" t="b">
        <f>VLOOKUP(all_inputs!E150,ui!A$29:B$33,2,FALSE)</f>
        <v>0</v>
      </c>
    </row>
    <row r="151" spans="1:27" hidden="1" x14ac:dyDescent="0.25">
      <c r="A151" s="2" t="s">
        <v>26</v>
      </c>
      <c r="B151" s="2">
        <f>IF(COUNTIF(dropdown!B$2:B$12,all_inputs!A151)=1,1,IF(COUNTIF(dropdown!C$2:C$4,all_inputs!A151)=1,2,IF(COUNTIF(dropdown!D$2:D$3,all_inputs!A151)=1,3,"?")))</f>
        <v>1</v>
      </c>
      <c r="C151" s="2" t="s">
        <v>18</v>
      </c>
      <c r="D151" s="2" t="s">
        <v>469</v>
      </c>
      <c r="E151" s="2" t="s">
        <v>460</v>
      </c>
      <c r="F151" s="2">
        <f>IF(AND(all_inputs!E151=dropdown!AA$8, COUNTIF(dropdown!AA$9:AA$19,all_inputs!A151)=1), dropdown!V$14, 1)</f>
        <v>1</v>
      </c>
      <c r="G151" s="5">
        <f>ui!B$4</f>
        <v>2025</v>
      </c>
      <c r="H151" s="5">
        <f>ui!B$5</f>
        <v>2050</v>
      </c>
      <c r="I151" s="5" t="s">
        <v>93</v>
      </c>
      <c r="J151" s="5" t="str">
        <f>VLOOKUP(ui!B$2,dropdown!M:O,3,FALSE)</f>
        <v>LIC</v>
      </c>
      <c r="K151" s="5"/>
      <c r="L151" s="5"/>
      <c r="M151" s="5"/>
      <c r="N151" s="5">
        <v>1</v>
      </c>
      <c r="O151" s="5"/>
      <c r="P151" s="5"/>
      <c r="Q151" s="5"/>
      <c r="R151" s="5">
        <v>1</v>
      </c>
      <c r="S151" s="5"/>
      <c r="T151" s="5"/>
      <c r="U151" s="5"/>
      <c r="V151" s="5"/>
      <c r="W151" s="5"/>
      <c r="X151" s="5"/>
      <c r="Y151" s="5"/>
      <c r="Z151" s="5"/>
      <c r="AA151" s="2" t="b">
        <f>VLOOKUP(all_inputs!E151,ui!A$29:B$33,2,FALSE)</f>
        <v>0</v>
      </c>
    </row>
    <row r="152" spans="1:27" hidden="1" x14ac:dyDescent="0.25">
      <c r="A152" t="s">
        <v>27</v>
      </c>
      <c r="B152">
        <f>IF(COUNTIF(dropdown!B$2:B$12,all_inputs!A152)=1,1,IF(COUNTIF(dropdown!C$2:C$4,all_inputs!A152)=1,2,IF(COUNTIF(dropdown!D$2:D$3,all_inputs!A152)=1,3,"?")))</f>
        <v>1</v>
      </c>
      <c r="C152" t="s">
        <v>13</v>
      </c>
      <c r="D152" t="s">
        <v>472</v>
      </c>
      <c r="E152" t="s">
        <v>460</v>
      </c>
      <c r="F152" s="4">
        <f>IF(AND(all_inputs!E152=dropdown!AA$8, COUNTIF(dropdown!AA$9:AA$19,all_inputs!A152)=1), dropdown!V$9, 1)</f>
        <v>1</v>
      </c>
      <c r="G152" s="4">
        <f>ui!B$4</f>
        <v>2025</v>
      </c>
      <c r="H152" s="4">
        <f>ui!B$5</f>
        <v>2050</v>
      </c>
      <c r="I152" s="4" t="s">
        <v>93</v>
      </c>
      <c r="J152" s="4" t="str">
        <f>VLOOKUP(ui!B$2,dropdown!M:O,3,FALSE)</f>
        <v>LIC</v>
      </c>
      <c r="K152" s="4"/>
      <c r="L152" s="4"/>
      <c r="M152" s="4"/>
      <c r="N152" s="4">
        <v>1</v>
      </c>
      <c r="O152" s="4"/>
      <c r="P152" s="4"/>
      <c r="Q152" s="4"/>
      <c r="R152" s="4">
        <v>1</v>
      </c>
      <c r="S152" s="4"/>
      <c r="T152" s="4"/>
      <c r="U152" s="4"/>
      <c r="V152" s="4"/>
      <c r="W152" s="4"/>
      <c r="X152" s="4"/>
      <c r="Y152" s="4"/>
      <c r="Z152" s="4"/>
      <c r="AA152" t="b">
        <f>VLOOKUP(all_inputs!E152,ui!A$29:B$33,2,FALSE)</f>
        <v>0</v>
      </c>
    </row>
    <row r="153" spans="1:27" hidden="1" x14ac:dyDescent="0.25">
      <c r="A153" t="s">
        <v>27</v>
      </c>
      <c r="B153">
        <f>IF(COUNTIF(dropdown!B$2:B$12,all_inputs!A153)=1,1,IF(COUNTIF(dropdown!C$2:C$4,all_inputs!A153)=1,2,IF(COUNTIF(dropdown!D$2:D$3,all_inputs!A153)=1,3,"?")))</f>
        <v>1</v>
      </c>
      <c r="C153" t="s">
        <v>14</v>
      </c>
      <c r="D153" t="s">
        <v>466</v>
      </c>
      <c r="E153" t="s">
        <v>460</v>
      </c>
      <c r="F153">
        <f>IF(AND(all_inputs!E153=dropdown!AA$8, COUNTIF(dropdown!AA$9:AA$19,all_inputs!A153)=1), dropdown!V$10, 1)</f>
        <v>1</v>
      </c>
      <c r="G153" s="4">
        <f>ui!B$4</f>
        <v>2025</v>
      </c>
      <c r="H153" s="4">
        <f>ui!B$5</f>
        <v>2050</v>
      </c>
      <c r="I153" s="4" t="s">
        <v>93</v>
      </c>
      <c r="J153" s="4" t="str">
        <f>VLOOKUP(ui!B$2,dropdown!M:O,3,FALSE)</f>
        <v>LIC</v>
      </c>
      <c r="K153" s="4"/>
      <c r="L153" s="4"/>
      <c r="M153" s="4"/>
      <c r="N153" s="4">
        <v>1</v>
      </c>
      <c r="O153" s="4"/>
      <c r="P153" s="4"/>
      <c r="Q153" s="4"/>
      <c r="R153" s="4">
        <v>1</v>
      </c>
      <c r="S153" s="4"/>
      <c r="T153" s="4"/>
      <c r="U153" s="4"/>
      <c r="V153" s="4"/>
      <c r="W153" s="4"/>
      <c r="X153" s="4"/>
      <c r="Y153" s="4"/>
      <c r="Z153" s="4"/>
      <c r="AA153" t="b">
        <f>VLOOKUP(all_inputs!E153,ui!A$29:B$33,2,FALSE)</f>
        <v>0</v>
      </c>
    </row>
    <row r="154" spans="1:27" hidden="1" x14ac:dyDescent="0.25">
      <c r="A154" t="s">
        <v>27</v>
      </c>
      <c r="B154">
        <f>IF(COUNTIF(dropdown!B$2:B$12,all_inputs!A154)=1,1,IF(COUNTIF(dropdown!C$2:C$4,all_inputs!A154)=1,2,IF(COUNTIF(dropdown!D$2:D$3,all_inputs!A154)=1,3,"?")))</f>
        <v>1</v>
      </c>
      <c r="C154" t="s">
        <v>15</v>
      </c>
      <c r="D154" t="s">
        <v>466</v>
      </c>
      <c r="E154" t="s">
        <v>460</v>
      </c>
      <c r="F154" s="4">
        <f>IF(AND(all_inputs!E154=dropdown!AA$8, COUNTIF(dropdown!AA$9:AA$19,all_inputs!A154)=1), dropdown!V$11, 1)</f>
        <v>1</v>
      </c>
      <c r="G154" s="4">
        <f>ui!B$4</f>
        <v>2025</v>
      </c>
      <c r="H154" s="4">
        <f>ui!B$5</f>
        <v>2050</v>
      </c>
      <c r="I154" s="4" t="s">
        <v>93</v>
      </c>
      <c r="J154" s="4" t="str">
        <f>VLOOKUP(ui!B$2,dropdown!M:O,3,FALSE)</f>
        <v>LIC</v>
      </c>
      <c r="K154" s="4"/>
      <c r="L154" s="4"/>
      <c r="M154" s="4"/>
      <c r="N154" s="4">
        <v>1</v>
      </c>
      <c r="O154" s="4"/>
      <c r="P154" s="4"/>
      <c r="Q154" s="4"/>
      <c r="R154" s="4">
        <v>1</v>
      </c>
      <c r="S154" s="4"/>
      <c r="T154" s="4"/>
      <c r="U154" s="4"/>
      <c r="V154" s="4"/>
      <c r="W154" s="4"/>
      <c r="X154" s="4"/>
      <c r="Y154" s="4"/>
      <c r="Z154" s="4"/>
      <c r="AA154" t="b">
        <f>VLOOKUP(all_inputs!E154,ui!A$29:B$33,2,FALSE)</f>
        <v>0</v>
      </c>
    </row>
    <row r="155" spans="1:27" hidden="1" x14ac:dyDescent="0.25">
      <c r="A155" t="s">
        <v>27</v>
      </c>
      <c r="B155">
        <f>IF(COUNTIF(dropdown!B$2:B$12,all_inputs!A155)=1,1,IF(COUNTIF(dropdown!C$2:C$4,all_inputs!A155)=1,2,IF(COUNTIF(dropdown!D$2:D$3,all_inputs!A155)=1,3,"?")))</f>
        <v>1</v>
      </c>
      <c r="C155" t="s">
        <v>16</v>
      </c>
      <c r="D155" t="s">
        <v>467</v>
      </c>
      <c r="E155" t="s">
        <v>460</v>
      </c>
      <c r="F155" s="4">
        <f>IF(AND(all_inputs!E155=dropdown!AA$8, COUNTIF(dropdown!AA$9:AA$19,all_inputs!A155)=1), dropdown!V$12, 1)</f>
        <v>1</v>
      </c>
      <c r="G155" s="4">
        <f>ui!B$4</f>
        <v>2025</v>
      </c>
      <c r="H155" s="4">
        <f>ui!B$5</f>
        <v>2050</v>
      </c>
      <c r="I155" s="4" t="s">
        <v>93</v>
      </c>
      <c r="J155" s="4" t="str">
        <f>VLOOKUP(ui!B$2,dropdown!M:O,3,FALSE)</f>
        <v>LIC</v>
      </c>
      <c r="K155" s="4"/>
      <c r="L155" s="4"/>
      <c r="M155" s="4"/>
      <c r="N155" s="4">
        <v>1</v>
      </c>
      <c r="O155" s="4"/>
      <c r="P155" s="4"/>
      <c r="Q155" s="4"/>
      <c r="R155" s="4">
        <v>1</v>
      </c>
      <c r="S155" s="4"/>
      <c r="T155" s="4"/>
      <c r="U155" s="4"/>
      <c r="V155" s="4"/>
      <c r="W155" s="4"/>
      <c r="X155" s="4"/>
      <c r="Y155" s="4"/>
      <c r="Z155" s="4"/>
      <c r="AA155" t="b">
        <f>VLOOKUP(all_inputs!E155,ui!A$29:B$33,2,FALSE)</f>
        <v>0</v>
      </c>
    </row>
    <row r="156" spans="1:27" hidden="1" x14ac:dyDescent="0.25">
      <c r="A156" t="s">
        <v>27</v>
      </c>
      <c r="B156">
        <f>IF(COUNTIF(dropdown!B$2:B$12,all_inputs!A156)=1,1,IF(COUNTIF(dropdown!C$2:C$4,all_inputs!A156)=1,2,IF(COUNTIF(dropdown!D$2:D$3,all_inputs!A156)=1,3,"?")))</f>
        <v>1</v>
      </c>
      <c r="C156" t="s">
        <v>17</v>
      </c>
      <c r="D156" t="s">
        <v>468</v>
      </c>
      <c r="E156" t="s">
        <v>460</v>
      </c>
      <c r="F156" s="4">
        <f>IF(AND(all_inputs!E156=dropdown!AA$8, COUNTIF(dropdown!AA$9:AA$19,all_inputs!A156)=1), dropdown!V$13, 1)</f>
        <v>1</v>
      </c>
      <c r="G156" s="4">
        <f>ui!B$4</f>
        <v>2025</v>
      </c>
      <c r="H156" s="4">
        <f>ui!B$5</f>
        <v>2050</v>
      </c>
      <c r="I156" s="4" t="s">
        <v>93</v>
      </c>
      <c r="J156" s="4" t="str">
        <f>VLOOKUP(ui!B$2,dropdown!M:O,3,FALSE)</f>
        <v>LIC</v>
      </c>
      <c r="K156" s="4"/>
      <c r="L156" s="4"/>
      <c r="M156" s="4"/>
      <c r="N156" s="4">
        <v>1</v>
      </c>
      <c r="O156" s="4"/>
      <c r="P156" s="4"/>
      <c r="Q156" s="4"/>
      <c r="R156" s="4">
        <v>1</v>
      </c>
      <c r="S156" s="4"/>
      <c r="T156" s="4"/>
      <c r="U156" s="4"/>
      <c r="V156" s="4"/>
      <c r="W156" s="4"/>
      <c r="X156" s="4"/>
      <c r="Y156" s="4"/>
      <c r="Z156" s="4"/>
      <c r="AA156" t="b">
        <f>VLOOKUP(all_inputs!E156,ui!A$29:B$33,2,FALSE)</f>
        <v>0</v>
      </c>
    </row>
    <row r="157" spans="1:27" hidden="1" x14ac:dyDescent="0.25">
      <c r="A157" s="2" t="s">
        <v>27</v>
      </c>
      <c r="B157" s="2">
        <f>IF(COUNTIF(dropdown!B$2:B$12,all_inputs!A157)=1,1,IF(COUNTIF(dropdown!C$2:C$4,all_inputs!A157)=1,2,IF(COUNTIF(dropdown!D$2:D$3,all_inputs!A157)=1,3,"?")))</f>
        <v>1</v>
      </c>
      <c r="C157" s="2" t="s">
        <v>18</v>
      </c>
      <c r="D157" s="2" t="s">
        <v>469</v>
      </c>
      <c r="E157" s="2" t="s">
        <v>460</v>
      </c>
      <c r="F157" s="2">
        <f>IF(AND(all_inputs!E157=dropdown!AA$8, COUNTIF(dropdown!AA$9:AA$19,all_inputs!A157)=1), dropdown!V$14, 1)</f>
        <v>1</v>
      </c>
      <c r="G157" s="5">
        <f>ui!B$4</f>
        <v>2025</v>
      </c>
      <c r="H157" s="5">
        <f>ui!B$5</f>
        <v>2050</v>
      </c>
      <c r="I157" s="5" t="s">
        <v>93</v>
      </c>
      <c r="J157" s="5" t="str">
        <f>VLOOKUP(ui!B$2,dropdown!M:O,3,FALSE)</f>
        <v>LIC</v>
      </c>
      <c r="K157" s="5"/>
      <c r="L157" s="5"/>
      <c r="M157" s="5"/>
      <c r="N157" s="5">
        <v>1</v>
      </c>
      <c r="O157" s="5"/>
      <c r="P157" s="5"/>
      <c r="Q157" s="5"/>
      <c r="R157" s="5">
        <v>1</v>
      </c>
      <c r="S157" s="5"/>
      <c r="T157" s="5"/>
      <c r="U157" s="5"/>
      <c r="V157" s="5"/>
      <c r="W157" s="5"/>
      <c r="X157" s="5"/>
      <c r="Y157" s="5"/>
      <c r="Z157" s="5"/>
      <c r="AA157" s="2" t="b">
        <f>VLOOKUP(all_inputs!E157,ui!A$29:B$33,2,FALSE)</f>
        <v>0</v>
      </c>
    </row>
    <row r="158" spans="1:27" hidden="1" x14ac:dyDescent="0.25">
      <c r="A158" t="s">
        <v>28</v>
      </c>
      <c r="B158">
        <f>IF(COUNTIF(dropdown!B$2:B$12,all_inputs!A158)=1,1,IF(COUNTIF(dropdown!C$2:C$4,all_inputs!A158)=1,2,IF(COUNTIF(dropdown!D$2:D$3,all_inputs!A158)=1,3,"?")))</f>
        <v>1</v>
      </c>
      <c r="C158" t="s">
        <v>13</v>
      </c>
      <c r="D158" t="s">
        <v>472</v>
      </c>
      <c r="E158" t="s">
        <v>460</v>
      </c>
      <c r="F158" s="4">
        <f>IF(AND(all_inputs!E158=dropdown!AA$8, COUNTIF(dropdown!AA$9:AA$19,all_inputs!A158)=1), dropdown!V$9, 1)</f>
        <v>1</v>
      </c>
      <c r="G158" s="4">
        <f>ui!B$4</f>
        <v>2025</v>
      </c>
      <c r="H158" s="4">
        <f>ui!B$5</f>
        <v>2050</v>
      </c>
      <c r="I158" s="4" t="s">
        <v>93</v>
      </c>
      <c r="J158" s="4" t="str">
        <f>VLOOKUP(ui!B$2,dropdown!M:O,3,FALSE)</f>
        <v>LIC</v>
      </c>
      <c r="K158" s="4"/>
      <c r="L158" s="4"/>
      <c r="M158" s="4"/>
      <c r="N158" s="4">
        <v>1</v>
      </c>
      <c r="O158" s="4"/>
      <c r="P158" s="4"/>
      <c r="Q158" s="4"/>
      <c r="R158" s="4">
        <v>1</v>
      </c>
      <c r="S158" s="4"/>
      <c r="T158" s="4"/>
      <c r="U158" s="4"/>
      <c r="V158" s="4"/>
      <c r="W158" s="4"/>
      <c r="X158" s="4"/>
      <c r="Y158" s="4"/>
      <c r="Z158" s="4"/>
      <c r="AA158" t="b">
        <f>VLOOKUP(all_inputs!E158,ui!A$29:B$33,2,FALSE)</f>
        <v>0</v>
      </c>
    </row>
    <row r="159" spans="1:27" hidden="1" x14ac:dyDescent="0.25">
      <c r="A159" t="s">
        <v>28</v>
      </c>
      <c r="B159">
        <f>IF(COUNTIF(dropdown!B$2:B$12,all_inputs!A159)=1,1,IF(COUNTIF(dropdown!C$2:C$4,all_inputs!A159)=1,2,IF(COUNTIF(dropdown!D$2:D$3,all_inputs!A159)=1,3,"?")))</f>
        <v>1</v>
      </c>
      <c r="C159" t="s">
        <v>14</v>
      </c>
      <c r="D159" t="s">
        <v>466</v>
      </c>
      <c r="E159" t="s">
        <v>460</v>
      </c>
      <c r="F159">
        <f>IF(AND(all_inputs!E159=dropdown!AA$8, COUNTIF(dropdown!AA$9:AA$19,all_inputs!A159)=1), dropdown!V$10, 1)</f>
        <v>1</v>
      </c>
      <c r="G159" s="4">
        <f>ui!B$4</f>
        <v>2025</v>
      </c>
      <c r="H159" s="4">
        <f>ui!B$5</f>
        <v>2050</v>
      </c>
      <c r="I159" s="4" t="s">
        <v>93</v>
      </c>
      <c r="J159" s="4" t="str">
        <f>VLOOKUP(ui!B$2,dropdown!M:O,3,FALSE)</f>
        <v>LIC</v>
      </c>
      <c r="K159" s="4"/>
      <c r="L159" s="4"/>
      <c r="M159" s="4"/>
      <c r="N159" s="4">
        <v>1</v>
      </c>
      <c r="O159" s="4"/>
      <c r="P159" s="4"/>
      <c r="Q159" s="4"/>
      <c r="R159" s="4">
        <v>1</v>
      </c>
      <c r="S159" s="4"/>
      <c r="T159" s="4"/>
      <c r="U159" s="4"/>
      <c r="V159" s="4"/>
      <c r="W159" s="4"/>
      <c r="X159" s="4"/>
      <c r="Y159" s="4"/>
      <c r="Z159" s="4"/>
      <c r="AA159" t="b">
        <f>VLOOKUP(all_inputs!E159,ui!A$29:B$33,2,FALSE)</f>
        <v>0</v>
      </c>
    </row>
    <row r="160" spans="1:27" hidden="1" x14ac:dyDescent="0.25">
      <c r="A160" t="s">
        <v>28</v>
      </c>
      <c r="B160">
        <f>IF(COUNTIF(dropdown!B$2:B$12,all_inputs!A160)=1,1,IF(COUNTIF(dropdown!C$2:C$4,all_inputs!A160)=1,2,IF(COUNTIF(dropdown!D$2:D$3,all_inputs!A160)=1,3,"?")))</f>
        <v>1</v>
      </c>
      <c r="C160" t="s">
        <v>15</v>
      </c>
      <c r="D160" t="s">
        <v>466</v>
      </c>
      <c r="E160" t="s">
        <v>460</v>
      </c>
      <c r="F160" s="4">
        <f>IF(AND(all_inputs!E160=dropdown!AA$8, COUNTIF(dropdown!AA$9:AA$19,all_inputs!A160)=1), dropdown!V$11, 1)</f>
        <v>1</v>
      </c>
      <c r="G160" s="4">
        <f>ui!B$4</f>
        <v>2025</v>
      </c>
      <c r="H160" s="4">
        <f>ui!B$5</f>
        <v>2050</v>
      </c>
      <c r="I160" s="4" t="s">
        <v>93</v>
      </c>
      <c r="J160" s="4" t="str">
        <f>VLOOKUP(ui!B$2,dropdown!M:O,3,FALSE)</f>
        <v>LIC</v>
      </c>
      <c r="K160" s="4"/>
      <c r="L160" s="4"/>
      <c r="M160" s="4"/>
      <c r="N160" s="4">
        <v>1</v>
      </c>
      <c r="O160" s="4"/>
      <c r="P160" s="4"/>
      <c r="Q160" s="4"/>
      <c r="R160" s="4">
        <v>1</v>
      </c>
      <c r="S160" s="4"/>
      <c r="T160" s="4"/>
      <c r="U160" s="4"/>
      <c r="V160" s="4"/>
      <c r="W160" s="4"/>
      <c r="X160" s="4"/>
      <c r="Y160" s="4"/>
      <c r="Z160" s="4"/>
      <c r="AA160" t="b">
        <f>VLOOKUP(all_inputs!E160,ui!A$29:B$33,2,FALSE)</f>
        <v>0</v>
      </c>
    </row>
    <row r="161" spans="1:27" hidden="1" x14ac:dyDescent="0.25">
      <c r="A161" t="s">
        <v>28</v>
      </c>
      <c r="B161">
        <f>IF(COUNTIF(dropdown!B$2:B$12,all_inputs!A161)=1,1,IF(COUNTIF(dropdown!C$2:C$4,all_inputs!A161)=1,2,IF(COUNTIF(dropdown!D$2:D$3,all_inputs!A161)=1,3,"?")))</f>
        <v>1</v>
      </c>
      <c r="C161" t="s">
        <v>16</v>
      </c>
      <c r="D161" t="s">
        <v>467</v>
      </c>
      <c r="E161" t="s">
        <v>460</v>
      </c>
      <c r="F161" s="4">
        <f>IF(AND(all_inputs!E161=dropdown!AA$8, COUNTIF(dropdown!AA$9:AA$19,all_inputs!A161)=1), dropdown!V$12, 1)</f>
        <v>1</v>
      </c>
      <c r="G161" s="4">
        <f>ui!B$4</f>
        <v>2025</v>
      </c>
      <c r="H161" s="4">
        <f>ui!B$5</f>
        <v>2050</v>
      </c>
      <c r="I161" s="4" t="s">
        <v>93</v>
      </c>
      <c r="J161" s="4" t="str">
        <f>VLOOKUP(ui!B$2,dropdown!M:O,3,FALSE)</f>
        <v>LIC</v>
      </c>
      <c r="K161" s="4"/>
      <c r="L161" s="4"/>
      <c r="M161" s="4"/>
      <c r="N161" s="4">
        <v>1</v>
      </c>
      <c r="O161" s="4"/>
      <c r="P161" s="4"/>
      <c r="Q161" s="4"/>
      <c r="R161" s="4">
        <v>1</v>
      </c>
      <c r="S161" s="4"/>
      <c r="T161" s="4"/>
      <c r="U161" s="4"/>
      <c r="V161" s="4"/>
      <c r="W161" s="4"/>
      <c r="X161" s="4"/>
      <c r="Y161" s="4"/>
      <c r="Z161" s="4"/>
      <c r="AA161" t="b">
        <f>VLOOKUP(all_inputs!E161,ui!A$29:B$33,2,FALSE)</f>
        <v>0</v>
      </c>
    </row>
    <row r="162" spans="1:27" hidden="1" x14ac:dyDescent="0.25">
      <c r="A162" t="s">
        <v>28</v>
      </c>
      <c r="B162">
        <f>IF(COUNTIF(dropdown!B$2:B$12,all_inputs!A162)=1,1,IF(COUNTIF(dropdown!C$2:C$4,all_inputs!A162)=1,2,IF(COUNTIF(dropdown!D$2:D$3,all_inputs!A162)=1,3,"?")))</f>
        <v>1</v>
      </c>
      <c r="C162" t="s">
        <v>17</v>
      </c>
      <c r="D162" t="s">
        <v>468</v>
      </c>
      <c r="E162" t="s">
        <v>460</v>
      </c>
      <c r="F162" s="4">
        <f>IF(AND(all_inputs!E162=dropdown!AA$8, COUNTIF(dropdown!AA$9:AA$19,all_inputs!A162)=1), dropdown!V$13, 1)</f>
        <v>1</v>
      </c>
      <c r="G162" s="4">
        <f>ui!B$4</f>
        <v>2025</v>
      </c>
      <c r="H162" s="4">
        <f>ui!B$5</f>
        <v>2050</v>
      </c>
      <c r="I162" s="4" t="s">
        <v>93</v>
      </c>
      <c r="J162" s="4" t="str">
        <f>VLOOKUP(ui!B$2,dropdown!M:O,3,FALSE)</f>
        <v>LIC</v>
      </c>
      <c r="K162" s="4"/>
      <c r="L162" s="4"/>
      <c r="M162" s="4"/>
      <c r="N162" s="4">
        <v>1</v>
      </c>
      <c r="O162" s="4"/>
      <c r="P162" s="4"/>
      <c r="Q162" s="4"/>
      <c r="R162" s="4">
        <v>1</v>
      </c>
      <c r="S162" s="4"/>
      <c r="T162" s="4"/>
      <c r="U162" s="4"/>
      <c r="V162" s="4"/>
      <c r="W162" s="4"/>
      <c r="X162" s="4"/>
      <c r="Y162" s="4"/>
      <c r="Z162" s="4"/>
      <c r="AA162" t="b">
        <f>VLOOKUP(all_inputs!E162,ui!A$29:B$33,2,FALSE)</f>
        <v>0</v>
      </c>
    </row>
    <row r="163" spans="1:27" hidden="1" x14ac:dyDescent="0.25">
      <c r="A163" s="2" t="s">
        <v>28</v>
      </c>
      <c r="B163" s="2">
        <f>IF(COUNTIF(dropdown!B$2:B$12,all_inputs!A163)=1,1,IF(COUNTIF(dropdown!C$2:C$4,all_inputs!A163)=1,2,IF(COUNTIF(dropdown!D$2:D$3,all_inputs!A163)=1,3,"?")))</f>
        <v>1</v>
      </c>
      <c r="C163" s="2" t="s">
        <v>18</v>
      </c>
      <c r="D163" s="2" t="s">
        <v>469</v>
      </c>
      <c r="E163" s="2" t="s">
        <v>460</v>
      </c>
      <c r="F163" s="2">
        <f>IF(AND(all_inputs!E163=dropdown!AA$8, COUNTIF(dropdown!AA$9:AA$19,all_inputs!A163)=1), dropdown!V$14, 1)</f>
        <v>1</v>
      </c>
      <c r="G163" s="5">
        <f>ui!B$4</f>
        <v>2025</v>
      </c>
      <c r="H163" s="5">
        <f>ui!B$5</f>
        <v>2050</v>
      </c>
      <c r="I163" s="5" t="s">
        <v>93</v>
      </c>
      <c r="J163" s="5" t="str">
        <f>VLOOKUP(ui!B$2,dropdown!M:O,3,FALSE)</f>
        <v>LIC</v>
      </c>
      <c r="K163" s="5"/>
      <c r="L163" s="5"/>
      <c r="M163" s="5"/>
      <c r="N163" s="5">
        <v>1</v>
      </c>
      <c r="O163" s="5"/>
      <c r="P163" s="5"/>
      <c r="Q163" s="5"/>
      <c r="R163" s="5">
        <v>1</v>
      </c>
      <c r="S163" s="5"/>
      <c r="T163" s="5"/>
      <c r="U163" s="5"/>
      <c r="V163" s="5"/>
      <c r="W163" s="5"/>
      <c r="X163" s="5"/>
      <c r="Y163" s="5"/>
      <c r="Z163" s="5"/>
      <c r="AA163" s="2" t="b">
        <f>VLOOKUP(all_inputs!E163,ui!A$29:B$33,2,FALSE)</f>
        <v>0</v>
      </c>
    </row>
    <row r="164" spans="1:27" hidden="1" x14ac:dyDescent="0.25">
      <c r="A164" t="s">
        <v>29</v>
      </c>
      <c r="B164">
        <f>IF(COUNTIF(dropdown!B$2:B$12,all_inputs!A164)=1,1,IF(COUNTIF(dropdown!C$2:C$4,all_inputs!A164)=1,2,IF(COUNTIF(dropdown!D$2:D$3,all_inputs!A164)=1,3,"?")))</f>
        <v>2</v>
      </c>
      <c r="C164" t="s">
        <v>13</v>
      </c>
      <c r="D164" t="s">
        <v>472</v>
      </c>
      <c r="E164" t="s">
        <v>460</v>
      </c>
      <c r="F164" s="4">
        <f>IF(AND(all_inputs!E164=dropdown!AA$8, COUNTIF(dropdown!AA$9:AA$19,all_inputs!A164)=1), dropdown!V$9, 1)</f>
        <v>1</v>
      </c>
      <c r="G164" s="4">
        <f>ui!B$4</f>
        <v>2025</v>
      </c>
      <c r="H164" s="4">
        <f>ui!B$5</f>
        <v>2050</v>
      </c>
      <c r="I164" s="4" t="s">
        <v>93</v>
      </c>
      <c r="J164" s="4" t="str">
        <f>VLOOKUP(ui!B$2,dropdown!M:O,3,FALSE)</f>
        <v>LIC</v>
      </c>
      <c r="K164" s="4"/>
      <c r="L164" s="4"/>
      <c r="M164" s="4"/>
      <c r="N164" s="4">
        <v>1</v>
      </c>
      <c r="O164" s="4"/>
      <c r="P164" s="4"/>
      <c r="Q164" s="4"/>
      <c r="R164" s="4">
        <v>1</v>
      </c>
      <c r="S164" s="4"/>
      <c r="T164" s="4"/>
      <c r="U164" s="4"/>
      <c r="V164" s="4"/>
      <c r="W164" s="4"/>
      <c r="X164" s="4"/>
      <c r="Y164" s="4"/>
      <c r="Z164" s="4"/>
      <c r="AA164" t="b">
        <f>VLOOKUP(all_inputs!E164,ui!A$29:B$33,2,FALSE)</f>
        <v>0</v>
      </c>
    </row>
    <row r="165" spans="1:27" hidden="1" x14ac:dyDescent="0.25">
      <c r="A165" t="s">
        <v>29</v>
      </c>
      <c r="B165">
        <f>IF(COUNTIF(dropdown!B$2:B$12,all_inputs!A165)=1,1,IF(COUNTIF(dropdown!C$2:C$4,all_inputs!A165)=1,2,IF(COUNTIF(dropdown!D$2:D$3,all_inputs!A165)=1,3,"?")))</f>
        <v>2</v>
      </c>
      <c r="C165" t="s">
        <v>14</v>
      </c>
      <c r="D165" t="s">
        <v>466</v>
      </c>
      <c r="E165" t="s">
        <v>460</v>
      </c>
      <c r="F165">
        <f>IF(AND(all_inputs!E165=dropdown!AA$8, COUNTIF(dropdown!AA$9:AA$19,all_inputs!A165)=1), dropdown!V$10, 1)</f>
        <v>1</v>
      </c>
      <c r="G165" s="4">
        <f>ui!B$4</f>
        <v>2025</v>
      </c>
      <c r="H165" s="4">
        <f>ui!B$5</f>
        <v>2050</v>
      </c>
      <c r="I165" s="4" t="s">
        <v>93</v>
      </c>
      <c r="J165" s="4" t="str">
        <f>VLOOKUP(ui!B$2,dropdown!M:O,3,FALSE)</f>
        <v>LIC</v>
      </c>
      <c r="K165" s="4"/>
      <c r="L165" s="4"/>
      <c r="M165" s="4"/>
      <c r="N165" s="4">
        <v>1</v>
      </c>
      <c r="O165" s="4"/>
      <c r="P165" s="4"/>
      <c r="Q165" s="4"/>
      <c r="R165" s="4">
        <v>1</v>
      </c>
      <c r="S165" s="4"/>
      <c r="T165" s="4"/>
      <c r="U165" s="4"/>
      <c r="V165" s="4"/>
      <c r="W165" s="4"/>
      <c r="X165" s="4"/>
      <c r="Y165" s="4"/>
      <c r="Z165" s="4"/>
      <c r="AA165" t="b">
        <f>VLOOKUP(all_inputs!E165,ui!A$29:B$33,2,FALSE)</f>
        <v>0</v>
      </c>
    </row>
    <row r="166" spans="1:27" hidden="1" x14ac:dyDescent="0.25">
      <c r="A166" t="s">
        <v>29</v>
      </c>
      <c r="B166">
        <f>IF(COUNTIF(dropdown!B$2:B$12,all_inputs!A166)=1,1,IF(COUNTIF(dropdown!C$2:C$4,all_inputs!A166)=1,2,IF(COUNTIF(dropdown!D$2:D$3,all_inputs!A166)=1,3,"?")))</f>
        <v>2</v>
      </c>
      <c r="C166" t="s">
        <v>15</v>
      </c>
      <c r="D166" t="s">
        <v>466</v>
      </c>
      <c r="E166" t="s">
        <v>460</v>
      </c>
      <c r="F166" s="4">
        <f>IF(AND(all_inputs!E166=dropdown!AA$8, COUNTIF(dropdown!AA$9:AA$19,all_inputs!A166)=1), dropdown!V$11, 1)</f>
        <v>1</v>
      </c>
      <c r="G166" s="4">
        <f>ui!B$4</f>
        <v>2025</v>
      </c>
      <c r="H166" s="4">
        <f>ui!B$5</f>
        <v>2050</v>
      </c>
      <c r="I166" s="4" t="s">
        <v>93</v>
      </c>
      <c r="J166" s="4" t="str">
        <f>VLOOKUP(ui!B$2,dropdown!M:O,3,FALSE)</f>
        <v>LIC</v>
      </c>
      <c r="K166" s="4"/>
      <c r="L166" s="4"/>
      <c r="M166" s="4"/>
      <c r="N166" s="4">
        <v>1</v>
      </c>
      <c r="O166" s="4"/>
      <c r="P166" s="4"/>
      <c r="Q166" s="4"/>
      <c r="R166" s="4">
        <v>1</v>
      </c>
      <c r="S166" s="4"/>
      <c r="T166" s="4"/>
      <c r="U166" s="4"/>
      <c r="V166" s="4"/>
      <c r="W166" s="4"/>
      <c r="X166" s="4"/>
      <c r="Y166" s="4"/>
      <c r="Z166" s="4"/>
      <c r="AA166" t="b">
        <f>VLOOKUP(all_inputs!E166,ui!A$29:B$33,2,FALSE)</f>
        <v>0</v>
      </c>
    </row>
    <row r="167" spans="1:27" hidden="1" x14ac:dyDescent="0.25">
      <c r="A167" t="s">
        <v>29</v>
      </c>
      <c r="B167">
        <f>IF(COUNTIF(dropdown!B$2:B$12,all_inputs!A167)=1,1,IF(COUNTIF(dropdown!C$2:C$4,all_inputs!A167)=1,2,IF(COUNTIF(dropdown!D$2:D$3,all_inputs!A167)=1,3,"?")))</f>
        <v>2</v>
      </c>
      <c r="C167" t="s">
        <v>16</v>
      </c>
      <c r="D167" t="s">
        <v>467</v>
      </c>
      <c r="E167" t="s">
        <v>460</v>
      </c>
      <c r="F167">
        <f>IF(AND(all_inputs!E167=dropdown!AA$8, COUNTIF(dropdown!AA$9:AA$19,all_inputs!A167)=1), dropdown!V$12, 1)</f>
        <v>1</v>
      </c>
      <c r="G167" s="4">
        <f>ui!B$4</f>
        <v>2025</v>
      </c>
      <c r="H167" s="4">
        <f>ui!B$5</f>
        <v>2050</v>
      </c>
      <c r="I167" s="4" t="s">
        <v>93</v>
      </c>
      <c r="J167" s="4" t="str">
        <f>VLOOKUP(ui!B$2,dropdown!M:O,3,FALSE)</f>
        <v>LIC</v>
      </c>
      <c r="K167" s="4"/>
      <c r="L167" s="4"/>
      <c r="M167" s="4"/>
      <c r="N167" s="4">
        <v>1</v>
      </c>
      <c r="O167" s="4"/>
      <c r="P167" s="4"/>
      <c r="Q167" s="4"/>
      <c r="R167" s="4">
        <v>1</v>
      </c>
      <c r="S167" s="4"/>
      <c r="T167" s="4"/>
      <c r="U167" s="4"/>
      <c r="V167" s="4"/>
      <c r="W167" s="4"/>
      <c r="X167" s="4"/>
      <c r="Y167" s="4"/>
      <c r="Z167" s="4"/>
      <c r="AA167" t="b">
        <f>VLOOKUP(all_inputs!E167,ui!A$29:B$33,2,FALSE)</f>
        <v>0</v>
      </c>
    </row>
    <row r="168" spans="1:27" hidden="1" x14ac:dyDescent="0.25">
      <c r="A168" t="s">
        <v>29</v>
      </c>
      <c r="B168">
        <f>IF(COUNTIF(dropdown!B$2:B$12,all_inputs!A168)=1,1,IF(COUNTIF(dropdown!C$2:C$4,all_inputs!A168)=1,2,IF(COUNTIF(dropdown!D$2:D$3,all_inputs!A168)=1,3,"?")))</f>
        <v>2</v>
      </c>
      <c r="C168" t="s">
        <v>17</v>
      </c>
      <c r="D168" t="s">
        <v>468</v>
      </c>
      <c r="E168" t="s">
        <v>460</v>
      </c>
      <c r="F168">
        <f>IF(AND(all_inputs!E168=dropdown!AA$8, COUNTIF(dropdown!AA$9:AA$19,all_inputs!A168)=1), dropdown!V$13, 1)</f>
        <v>1</v>
      </c>
      <c r="G168" s="4">
        <f>ui!B$4</f>
        <v>2025</v>
      </c>
      <c r="H168" s="4">
        <f>ui!B$5</f>
        <v>2050</v>
      </c>
      <c r="I168" s="4" t="s">
        <v>93</v>
      </c>
      <c r="J168" s="4" t="str">
        <f>VLOOKUP(ui!B$2,dropdown!M:O,3,FALSE)</f>
        <v>LIC</v>
      </c>
      <c r="K168" s="4"/>
      <c r="L168" s="4"/>
      <c r="M168" s="4"/>
      <c r="N168" s="4">
        <v>1</v>
      </c>
      <c r="O168" s="4"/>
      <c r="P168" s="4"/>
      <c r="Q168" s="4"/>
      <c r="R168" s="4">
        <v>1</v>
      </c>
      <c r="S168" s="4"/>
      <c r="T168" s="4"/>
      <c r="U168" s="4"/>
      <c r="V168" s="4"/>
      <c r="W168" s="4"/>
      <c r="X168" s="4"/>
      <c r="Y168" s="4"/>
      <c r="Z168" s="4"/>
      <c r="AA168" t="b">
        <f>VLOOKUP(all_inputs!E168,ui!A$29:B$33,2,FALSE)</f>
        <v>0</v>
      </c>
    </row>
    <row r="169" spans="1:27" hidden="1" x14ac:dyDescent="0.25">
      <c r="A169" s="2" t="s">
        <v>29</v>
      </c>
      <c r="B169" s="2">
        <f>IF(COUNTIF(dropdown!B$2:B$12,all_inputs!A169)=1,1,IF(COUNTIF(dropdown!C$2:C$4,all_inputs!A169)=1,2,IF(COUNTIF(dropdown!D$2:D$3,all_inputs!A169)=1,3,"?")))</f>
        <v>2</v>
      </c>
      <c r="C169" s="2" t="s">
        <v>18</v>
      </c>
      <c r="D169" s="2" t="s">
        <v>469</v>
      </c>
      <c r="E169" s="2" t="s">
        <v>460</v>
      </c>
      <c r="F169" s="2">
        <f>IF(AND(all_inputs!E169=dropdown!AA$8, COUNTIF(dropdown!AA$9:AA$19,all_inputs!A169)=1), dropdown!V$14, 1)</f>
        <v>1</v>
      </c>
      <c r="G169" s="5">
        <f>ui!B$4</f>
        <v>2025</v>
      </c>
      <c r="H169" s="5">
        <f>ui!B$5</f>
        <v>2050</v>
      </c>
      <c r="I169" s="5" t="s">
        <v>93</v>
      </c>
      <c r="J169" s="5" t="str">
        <f>VLOOKUP(ui!B$2,dropdown!M:O,3,FALSE)</f>
        <v>LIC</v>
      </c>
      <c r="K169" s="5"/>
      <c r="L169" s="5"/>
      <c r="M169" s="5"/>
      <c r="N169" s="5">
        <v>1</v>
      </c>
      <c r="O169" s="5"/>
      <c r="P169" s="5"/>
      <c r="Q169" s="5"/>
      <c r="R169" s="5">
        <v>1</v>
      </c>
      <c r="S169" s="5"/>
      <c r="T169" s="5"/>
      <c r="U169" s="5"/>
      <c r="V169" s="5"/>
      <c r="W169" s="5"/>
      <c r="X169" s="5"/>
      <c r="Y169" s="5"/>
      <c r="Z169" s="5"/>
      <c r="AA169" s="2" t="b">
        <f>VLOOKUP(all_inputs!E169,ui!A$29:B$33,2,FALSE)</f>
        <v>0</v>
      </c>
    </row>
    <row r="170" spans="1:27" hidden="1" x14ac:dyDescent="0.25">
      <c r="A170" t="s">
        <v>30</v>
      </c>
      <c r="B170">
        <f>IF(COUNTIF(dropdown!B$2:B$12,all_inputs!A170)=1,1,IF(COUNTIF(dropdown!C$2:C$4,all_inputs!A170)=1,2,IF(COUNTIF(dropdown!D$2:D$3,all_inputs!A170)=1,3,"?")))</f>
        <v>1</v>
      </c>
      <c r="C170" t="s">
        <v>13</v>
      </c>
      <c r="D170" t="s">
        <v>472</v>
      </c>
      <c r="E170" t="s">
        <v>460</v>
      </c>
      <c r="F170" s="4">
        <f>IF(AND(all_inputs!E170=dropdown!AA$8, COUNTIF(dropdown!AA$9:AA$19,all_inputs!A170)=1), dropdown!V$9, 1)</f>
        <v>1</v>
      </c>
      <c r="G170" s="4">
        <f>ui!B$4</f>
        <v>2025</v>
      </c>
      <c r="H170" s="4">
        <f>ui!B$5</f>
        <v>2050</v>
      </c>
      <c r="I170" s="4" t="s">
        <v>93</v>
      </c>
      <c r="J170" s="4" t="str">
        <f>VLOOKUP(ui!B$2,dropdown!M:O,3,FALSE)</f>
        <v>LIC</v>
      </c>
      <c r="K170" s="4"/>
      <c r="L170" s="4"/>
      <c r="M170" s="4"/>
      <c r="N170" s="4">
        <v>1</v>
      </c>
      <c r="O170" s="4"/>
      <c r="P170" s="4"/>
      <c r="Q170" s="4"/>
      <c r="R170" s="4">
        <v>1</v>
      </c>
      <c r="S170" s="4"/>
      <c r="T170" s="4"/>
      <c r="U170" s="4"/>
      <c r="V170" s="4"/>
      <c r="W170" s="4"/>
      <c r="X170" s="4"/>
      <c r="Y170" s="4"/>
      <c r="Z170" s="4"/>
      <c r="AA170" t="b">
        <f>VLOOKUP(all_inputs!E170,ui!A$29:B$33,2,FALSE)</f>
        <v>0</v>
      </c>
    </row>
    <row r="171" spans="1:27" hidden="1" x14ac:dyDescent="0.25">
      <c r="A171" t="s">
        <v>30</v>
      </c>
      <c r="B171">
        <f>IF(COUNTIF(dropdown!B$2:B$12,all_inputs!A171)=1,1,IF(COUNTIF(dropdown!C$2:C$4,all_inputs!A171)=1,2,IF(COUNTIF(dropdown!D$2:D$3,all_inputs!A171)=1,3,"?")))</f>
        <v>1</v>
      </c>
      <c r="C171" t="s">
        <v>14</v>
      </c>
      <c r="D171" t="s">
        <v>466</v>
      </c>
      <c r="E171" t="s">
        <v>460</v>
      </c>
      <c r="F171">
        <f>IF(AND(all_inputs!E171=dropdown!AA$8, COUNTIF(dropdown!AA$9:AA$19,all_inputs!A171)=1), dropdown!V$10, 1)</f>
        <v>1</v>
      </c>
      <c r="G171" s="4">
        <f>ui!B$4</f>
        <v>2025</v>
      </c>
      <c r="H171" s="4">
        <f>ui!B$5</f>
        <v>2050</v>
      </c>
      <c r="I171" s="4" t="s">
        <v>93</v>
      </c>
      <c r="J171" s="4" t="str">
        <f>VLOOKUP(ui!B$2,dropdown!M:O,3,FALSE)</f>
        <v>LIC</v>
      </c>
      <c r="K171" s="4"/>
      <c r="L171" s="4"/>
      <c r="M171" s="4"/>
      <c r="N171" s="4">
        <v>1</v>
      </c>
      <c r="O171" s="4"/>
      <c r="P171" s="4"/>
      <c r="Q171" s="4"/>
      <c r="R171" s="4">
        <v>1</v>
      </c>
      <c r="S171" s="4"/>
      <c r="T171" s="4"/>
      <c r="U171" s="4"/>
      <c r="V171" s="4"/>
      <c r="W171" s="4"/>
      <c r="X171" s="4"/>
      <c r="Y171" s="4"/>
      <c r="Z171" s="4"/>
      <c r="AA171" t="b">
        <f>VLOOKUP(all_inputs!E171,ui!A$29:B$33,2,FALSE)</f>
        <v>0</v>
      </c>
    </row>
    <row r="172" spans="1:27" hidden="1" x14ac:dyDescent="0.25">
      <c r="A172" t="s">
        <v>30</v>
      </c>
      <c r="B172">
        <f>IF(COUNTIF(dropdown!B$2:B$12,all_inputs!A172)=1,1,IF(COUNTIF(dropdown!C$2:C$4,all_inputs!A172)=1,2,IF(COUNTIF(dropdown!D$2:D$3,all_inputs!A172)=1,3,"?")))</f>
        <v>1</v>
      </c>
      <c r="C172" t="s">
        <v>15</v>
      </c>
      <c r="D172" t="s">
        <v>466</v>
      </c>
      <c r="E172" t="s">
        <v>460</v>
      </c>
      <c r="F172" s="4">
        <f>IF(AND(all_inputs!E172=dropdown!AA$8, COUNTIF(dropdown!AA$9:AA$19,all_inputs!A172)=1), dropdown!V$11, 1)</f>
        <v>1</v>
      </c>
      <c r="G172" s="4">
        <f>ui!B$4</f>
        <v>2025</v>
      </c>
      <c r="H172" s="4">
        <f>ui!B$5</f>
        <v>2050</v>
      </c>
      <c r="I172" s="4" t="s">
        <v>93</v>
      </c>
      <c r="J172" s="4" t="str">
        <f>VLOOKUP(ui!B$2,dropdown!M:O,3,FALSE)</f>
        <v>LIC</v>
      </c>
      <c r="K172" s="4"/>
      <c r="L172" s="4"/>
      <c r="M172" s="4"/>
      <c r="N172" s="4">
        <v>1</v>
      </c>
      <c r="O172" s="4"/>
      <c r="P172" s="4"/>
      <c r="Q172" s="4"/>
      <c r="R172" s="4">
        <v>1</v>
      </c>
      <c r="S172" s="4"/>
      <c r="T172" s="4"/>
      <c r="U172" s="4"/>
      <c r="V172" s="4"/>
      <c r="W172" s="4"/>
      <c r="X172" s="4"/>
      <c r="Y172" s="4"/>
      <c r="Z172" s="4"/>
      <c r="AA172" t="b">
        <f>VLOOKUP(all_inputs!E172,ui!A$29:B$33,2,FALSE)</f>
        <v>0</v>
      </c>
    </row>
    <row r="173" spans="1:27" hidden="1" x14ac:dyDescent="0.25">
      <c r="A173" t="s">
        <v>30</v>
      </c>
      <c r="B173">
        <f>IF(COUNTIF(dropdown!B$2:B$12,all_inputs!A173)=1,1,IF(COUNTIF(dropdown!C$2:C$4,all_inputs!A173)=1,2,IF(COUNTIF(dropdown!D$2:D$3,all_inputs!A173)=1,3,"?")))</f>
        <v>1</v>
      </c>
      <c r="C173" t="s">
        <v>16</v>
      </c>
      <c r="D173" t="s">
        <v>467</v>
      </c>
      <c r="E173" t="s">
        <v>460</v>
      </c>
      <c r="F173" s="4">
        <f>IF(AND(all_inputs!E173=dropdown!AA$8, COUNTIF(dropdown!AA$9:AA$19,all_inputs!A173)=1), dropdown!V$12, 1)</f>
        <v>1</v>
      </c>
      <c r="G173" s="4">
        <f>ui!B$4</f>
        <v>2025</v>
      </c>
      <c r="H173" s="4">
        <f>ui!B$5</f>
        <v>2050</v>
      </c>
      <c r="I173" s="4" t="s">
        <v>93</v>
      </c>
      <c r="J173" s="4" t="str">
        <f>VLOOKUP(ui!B$2,dropdown!M:O,3,FALSE)</f>
        <v>LIC</v>
      </c>
      <c r="K173" s="4"/>
      <c r="L173" s="4"/>
      <c r="M173" s="4"/>
      <c r="N173" s="4">
        <v>1</v>
      </c>
      <c r="O173" s="4"/>
      <c r="P173" s="4"/>
      <c r="Q173" s="4"/>
      <c r="R173" s="4">
        <v>1</v>
      </c>
      <c r="S173" s="4"/>
      <c r="T173" s="4"/>
      <c r="U173" s="4"/>
      <c r="V173" s="4"/>
      <c r="W173" s="4"/>
      <c r="X173" s="4"/>
      <c r="Y173" s="4"/>
      <c r="Z173" s="4"/>
      <c r="AA173" t="b">
        <f>VLOOKUP(all_inputs!E173,ui!A$29:B$33,2,FALSE)</f>
        <v>0</v>
      </c>
    </row>
    <row r="174" spans="1:27" hidden="1" x14ac:dyDescent="0.25">
      <c r="A174" t="s">
        <v>30</v>
      </c>
      <c r="B174">
        <f>IF(COUNTIF(dropdown!B$2:B$12,all_inputs!A174)=1,1,IF(COUNTIF(dropdown!C$2:C$4,all_inputs!A174)=1,2,IF(COUNTIF(dropdown!D$2:D$3,all_inputs!A174)=1,3,"?")))</f>
        <v>1</v>
      </c>
      <c r="C174" t="s">
        <v>17</v>
      </c>
      <c r="D174" t="s">
        <v>468</v>
      </c>
      <c r="E174" t="s">
        <v>460</v>
      </c>
      <c r="F174" s="4">
        <f>IF(AND(all_inputs!E174=dropdown!AA$8, COUNTIF(dropdown!AA$9:AA$19,all_inputs!A174)=1), dropdown!V$13, 1)</f>
        <v>1</v>
      </c>
      <c r="G174" s="4">
        <f>ui!B$4</f>
        <v>2025</v>
      </c>
      <c r="H174" s="4">
        <f>ui!B$5</f>
        <v>2050</v>
      </c>
      <c r="I174" s="4" t="s">
        <v>93</v>
      </c>
      <c r="J174" s="4" t="str">
        <f>VLOOKUP(ui!B$2,dropdown!M:O,3,FALSE)</f>
        <v>LIC</v>
      </c>
      <c r="K174" s="4"/>
      <c r="L174" s="4"/>
      <c r="M174" s="4"/>
      <c r="N174" s="4">
        <v>1</v>
      </c>
      <c r="O174" s="4"/>
      <c r="P174" s="4"/>
      <c r="Q174" s="4"/>
      <c r="R174" s="4">
        <v>1</v>
      </c>
      <c r="S174" s="4"/>
      <c r="T174" s="4"/>
      <c r="U174" s="4"/>
      <c r="V174" s="4"/>
      <c r="W174" s="4"/>
      <c r="X174" s="4"/>
      <c r="Y174" s="4"/>
      <c r="Z174" s="4"/>
      <c r="AA174" t="b">
        <f>VLOOKUP(all_inputs!E174,ui!A$29:B$33,2,FALSE)</f>
        <v>0</v>
      </c>
    </row>
    <row r="175" spans="1:27" hidden="1" x14ac:dyDescent="0.25">
      <c r="A175" s="2" t="s">
        <v>30</v>
      </c>
      <c r="B175" s="2">
        <f>IF(COUNTIF(dropdown!B$2:B$12,all_inputs!A175)=1,1,IF(COUNTIF(dropdown!C$2:C$4,all_inputs!A175)=1,2,IF(COUNTIF(dropdown!D$2:D$3,all_inputs!A175)=1,3,"?")))</f>
        <v>1</v>
      </c>
      <c r="C175" s="2" t="s">
        <v>18</v>
      </c>
      <c r="D175" s="2" t="s">
        <v>469</v>
      </c>
      <c r="E175" s="2" t="s">
        <v>460</v>
      </c>
      <c r="F175" s="2">
        <f>IF(AND(all_inputs!E175=dropdown!AA$8, COUNTIF(dropdown!AA$9:AA$19,all_inputs!A175)=1), dropdown!V$14, 1)</f>
        <v>1</v>
      </c>
      <c r="G175" s="5">
        <f>ui!B$4</f>
        <v>2025</v>
      </c>
      <c r="H175" s="5">
        <f>ui!B$5</f>
        <v>2050</v>
      </c>
      <c r="I175" s="5" t="s">
        <v>93</v>
      </c>
      <c r="J175" s="5" t="str">
        <f>VLOOKUP(ui!B$2,dropdown!M:O,3,FALSE)</f>
        <v>LIC</v>
      </c>
      <c r="K175" s="5"/>
      <c r="L175" s="5"/>
      <c r="M175" s="5"/>
      <c r="N175" s="5">
        <v>1</v>
      </c>
      <c r="O175" s="5"/>
      <c r="P175" s="5"/>
      <c r="Q175" s="5"/>
      <c r="R175" s="5">
        <v>1</v>
      </c>
      <c r="S175" s="5"/>
      <c r="T175" s="5"/>
      <c r="U175" s="5"/>
      <c r="V175" s="5"/>
      <c r="W175" s="5"/>
      <c r="X175" s="5"/>
      <c r="Y175" s="5"/>
      <c r="Z175" s="5"/>
      <c r="AA175" s="2" t="b">
        <f>VLOOKUP(all_inputs!E175,ui!A$29:B$33,2,FALSE)</f>
        <v>0</v>
      </c>
    </row>
    <row r="176" spans="1:27" hidden="1" x14ac:dyDescent="0.25">
      <c r="A176" t="s">
        <v>31</v>
      </c>
      <c r="B176">
        <f>IF(COUNTIF(dropdown!B$2:B$12,all_inputs!A176)=1,1,IF(COUNTIF(dropdown!C$2:C$4,all_inputs!A176)=1,2,IF(COUNTIF(dropdown!D$2:D$3,all_inputs!A176)=1,3,"?")))</f>
        <v>1</v>
      </c>
      <c r="C176" t="s">
        <v>13</v>
      </c>
      <c r="D176" t="s">
        <v>472</v>
      </c>
      <c r="E176" t="s">
        <v>460</v>
      </c>
      <c r="F176" s="4">
        <f>IF(AND(all_inputs!E176=dropdown!AA$8, COUNTIF(dropdown!AA$9:AA$19,all_inputs!A176)=1), dropdown!V$9, 1)</f>
        <v>1</v>
      </c>
      <c r="G176" s="4">
        <f>ui!B$4</f>
        <v>2025</v>
      </c>
      <c r="H176" s="4">
        <f>ui!B$5</f>
        <v>2050</v>
      </c>
      <c r="I176" s="4" t="s">
        <v>93</v>
      </c>
      <c r="J176" s="4" t="str">
        <f>VLOOKUP(ui!B$2,dropdown!M:O,3,FALSE)</f>
        <v>LIC</v>
      </c>
      <c r="K176" s="4"/>
      <c r="L176" s="4"/>
      <c r="M176" s="4"/>
      <c r="N176" s="4">
        <v>1</v>
      </c>
      <c r="O176" s="4"/>
      <c r="P176" s="4"/>
      <c r="Q176" s="4"/>
      <c r="R176" s="4">
        <v>1</v>
      </c>
      <c r="S176" s="4"/>
      <c r="T176" s="4"/>
      <c r="U176" s="4"/>
      <c r="V176" s="4"/>
      <c r="W176" s="4"/>
      <c r="X176" s="4"/>
      <c r="Y176" s="4"/>
      <c r="Z176" s="4"/>
      <c r="AA176" t="b">
        <f>VLOOKUP(all_inputs!E176,ui!A$29:B$33,2,FALSE)</f>
        <v>0</v>
      </c>
    </row>
    <row r="177" spans="1:27" hidden="1" x14ac:dyDescent="0.25">
      <c r="A177" t="s">
        <v>31</v>
      </c>
      <c r="B177">
        <f>IF(COUNTIF(dropdown!B$2:B$12,all_inputs!A177)=1,1,IF(COUNTIF(dropdown!C$2:C$4,all_inputs!A177)=1,2,IF(COUNTIF(dropdown!D$2:D$3,all_inputs!A177)=1,3,"?")))</f>
        <v>1</v>
      </c>
      <c r="C177" t="s">
        <v>14</v>
      </c>
      <c r="D177" t="s">
        <v>466</v>
      </c>
      <c r="E177" t="s">
        <v>460</v>
      </c>
      <c r="F177">
        <f>IF(AND(all_inputs!E177=dropdown!AA$8, COUNTIF(dropdown!AA$9:AA$19,all_inputs!A177)=1), dropdown!V$10, 1)</f>
        <v>1</v>
      </c>
      <c r="G177" s="4">
        <f>ui!B$4</f>
        <v>2025</v>
      </c>
      <c r="H177" s="4">
        <f>ui!B$5</f>
        <v>2050</v>
      </c>
      <c r="I177" s="4" t="s">
        <v>93</v>
      </c>
      <c r="J177" s="4" t="str">
        <f>VLOOKUP(ui!B$2,dropdown!M:O,3,FALSE)</f>
        <v>LIC</v>
      </c>
      <c r="K177" s="4"/>
      <c r="L177" s="4"/>
      <c r="M177" s="4"/>
      <c r="N177" s="4">
        <v>1</v>
      </c>
      <c r="O177" s="4"/>
      <c r="P177" s="4"/>
      <c r="Q177" s="4"/>
      <c r="R177" s="4">
        <v>1</v>
      </c>
      <c r="S177" s="4"/>
      <c r="T177" s="4"/>
      <c r="U177" s="4"/>
      <c r="V177" s="4"/>
      <c r="W177" s="4"/>
      <c r="X177" s="4"/>
      <c r="Y177" s="4"/>
      <c r="Z177" s="4"/>
      <c r="AA177" t="b">
        <f>VLOOKUP(all_inputs!E177,ui!A$29:B$33,2,FALSE)</f>
        <v>0</v>
      </c>
    </row>
    <row r="178" spans="1:27" hidden="1" x14ac:dyDescent="0.25">
      <c r="A178" t="s">
        <v>31</v>
      </c>
      <c r="B178">
        <f>IF(COUNTIF(dropdown!B$2:B$12,all_inputs!A178)=1,1,IF(COUNTIF(dropdown!C$2:C$4,all_inputs!A178)=1,2,IF(COUNTIF(dropdown!D$2:D$3,all_inputs!A178)=1,3,"?")))</f>
        <v>1</v>
      </c>
      <c r="C178" t="s">
        <v>15</v>
      </c>
      <c r="D178" t="s">
        <v>466</v>
      </c>
      <c r="E178" t="s">
        <v>460</v>
      </c>
      <c r="F178" s="4">
        <f>IF(AND(all_inputs!E178=dropdown!AA$8, COUNTIF(dropdown!AA$9:AA$19,all_inputs!A178)=1), dropdown!V$11, 1)</f>
        <v>1</v>
      </c>
      <c r="G178" s="4">
        <f>ui!B$4</f>
        <v>2025</v>
      </c>
      <c r="H178" s="4">
        <f>ui!B$5</f>
        <v>2050</v>
      </c>
      <c r="I178" s="4" t="s">
        <v>93</v>
      </c>
      <c r="J178" s="4" t="str">
        <f>VLOOKUP(ui!B$2,dropdown!M:O,3,FALSE)</f>
        <v>LIC</v>
      </c>
      <c r="K178" s="4"/>
      <c r="L178" s="4"/>
      <c r="M178" s="4"/>
      <c r="N178" s="4">
        <v>1</v>
      </c>
      <c r="O178" s="4"/>
      <c r="P178" s="4"/>
      <c r="Q178" s="4"/>
      <c r="R178" s="4">
        <v>1</v>
      </c>
      <c r="S178" s="4"/>
      <c r="T178" s="4"/>
      <c r="U178" s="4"/>
      <c r="V178" s="4"/>
      <c r="W178" s="4"/>
      <c r="X178" s="4"/>
      <c r="Y178" s="4"/>
      <c r="Z178" s="4"/>
      <c r="AA178" t="b">
        <f>VLOOKUP(all_inputs!E178,ui!A$29:B$33,2,FALSE)</f>
        <v>0</v>
      </c>
    </row>
    <row r="179" spans="1:27" hidden="1" x14ac:dyDescent="0.25">
      <c r="A179" t="s">
        <v>31</v>
      </c>
      <c r="B179">
        <f>IF(COUNTIF(dropdown!B$2:B$12,all_inputs!A179)=1,1,IF(COUNTIF(dropdown!C$2:C$4,all_inputs!A179)=1,2,IF(COUNTIF(dropdown!D$2:D$3,all_inputs!A179)=1,3,"?")))</f>
        <v>1</v>
      </c>
      <c r="C179" t="s">
        <v>16</v>
      </c>
      <c r="D179" t="s">
        <v>467</v>
      </c>
      <c r="E179" t="s">
        <v>460</v>
      </c>
      <c r="F179">
        <f>IF(AND(all_inputs!E179=dropdown!AA$8, COUNTIF(dropdown!AA$9:AA$19,all_inputs!A179)=1), dropdown!V$12, 1)</f>
        <v>1</v>
      </c>
      <c r="G179" s="4">
        <f>ui!B$4</f>
        <v>2025</v>
      </c>
      <c r="H179" s="4">
        <f>ui!B$5</f>
        <v>2050</v>
      </c>
      <c r="I179" s="4" t="s">
        <v>93</v>
      </c>
      <c r="J179" s="4" t="str">
        <f>VLOOKUP(ui!B$2,dropdown!M:O,3,FALSE)</f>
        <v>LIC</v>
      </c>
      <c r="K179" s="4"/>
      <c r="L179" s="4"/>
      <c r="M179" s="4"/>
      <c r="N179" s="4">
        <v>1</v>
      </c>
      <c r="O179" s="4"/>
      <c r="P179" s="4"/>
      <c r="Q179" s="4"/>
      <c r="R179" s="4">
        <v>1</v>
      </c>
      <c r="S179" s="4"/>
      <c r="T179" s="4"/>
      <c r="U179" s="4"/>
      <c r="V179" s="4"/>
      <c r="W179" s="4"/>
      <c r="X179" s="4"/>
      <c r="Y179" s="4"/>
      <c r="Z179" s="4"/>
      <c r="AA179" t="b">
        <f>VLOOKUP(all_inputs!E179,ui!A$29:B$33,2,FALSE)</f>
        <v>0</v>
      </c>
    </row>
    <row r="180" spans="1:27" hidden="1" x14ac:dyDescent="0.25">
      <c r="A180" t="s">
        <v>31</v>
      </c>
      <c r="B180">
        <f>IF(COUNTIF(dropdown!B$2:B$12,all_inputs!A180)=1,1,IF(COUNTIF(dropdown!C$2:C$4,all_inputs!A180)=1,2,IF(COUNTIF(dropdown!D$2:D$3,all_inputs!A180)=1,3,"?")))</f>
        <v>1</v>
      </c>
      <c r="C180" t="s">
        <v>17</v>
      </c>
      <c r="D180" t="s">
        <v>468</v>
      </c>
      <c r="E180" t="s">
        <v>460</v>
      </c>
      <c r="F180">
        <f>IF(AND(all_inputs!E180=dropdown!AA$8, COUNTIF(dropdown!AA$9:AA$19,all_inputs!A180)=1), dropdown!V$13, 1)</f>
        <v>1</v>
      </c>
      <c r="G180" s="4">
        <f>ui!B$4</f>
        <v>2025</v>
      </c>
      <c r="H180" s="4">
        <f>ui!B$5</f>
        <v>2050</v>
      </c>
      <c r="I180" s="4" t="s">
        <v>93</v>
      </c>
      <c r="J180" s="4" t="str">
        <f>VLOOKUP(ui!B$2,dropdown!M:O,3,FALSE)</f>
        <v>LIC</v>
      </c>
      <c r="K180" s="4"/>
      <c r="L180" s="4"/>
      <c r="M180" s="4"/>
      <c r="N180" s="4">
        <v>1</v>
      </c>
      <c r="O180" s="4"/>
      <c r="P180" s="4"/>
      <c r="Q180" s="4"/>
      <c r="R180" s="4">
        <v>1</v>
      </c>
      <c r="S180" s="4"/>
      <c r="T180" s="4"/>
      <c r="U180" s="4"/>
      <c r="V180" s="4"/>
      <c r="W180" s="4"/>
      <c r="X180" s="4"/>
      <c r="Y180" s="4"/>
      <c r="Z180" s="4"/>
      <c r="AA180" t="b">
        <f>VLOOKUP(all_inputs!E180,ui!A$29:B$33,2,FALSE)</f>
        <v>0</v>
      </c>
    </row>
    <row r="181" spans="1:27" hidden="1" x14ac:dyDescent="0.25">
      <c r="A181" s="2" t="s">
        <v>31</v>
      </c>
      <c r="B181" s="2">
        <f>IF(COUNTIF(dropdown!B$2:B$12,all_inputs!A181)=1,1,IF(COUNTIF(dropdown!C$2:C$4,all_inputs!A181)=1,2,IF(COUNTIF(dropdown!D$2:D$3,all_inputs!A181)=1,3,"?")))</f>
        <v>1</v>
      </c>
      <c r="C181" s="2" t="s">
        <v>18</v>
      </c>
      <c r="D181" s="2" t="s">
        <v>469</v>
      </c>
      <c r="E181" s="2" t="s">
        <v>460</v>
      </c>
      <c r="F181" s="2">
        <f>IF(AND(all_inputs!E181=dropdown!AA$8, COUNTIF(dropdown!AA$9:AA$19,all_inputs!A181)=1), dropdown!V$14, 1)</f>
        <v>1</v>
      </c>
      <c r="G181" s="5">
        <f>ui!B$4</f>
        <v>2025</v>
      </c>
      <c r="H181" s="5">
        <f>ui!B$5</f>
        <v>2050</v>
      </c>
      <c r="I181" s="5" t="s">
        <v>93</v>
      </c>
      <c r="J181" s="5" t="str">
        <f>VLOOKUP(ui!B$2,dropdown!M:O,3,FALSE)</f>
        <v>LIC</v>
      </c>
      <c r="K181" s="5"/>
      <c r="L181" s="5"/>
      <c r="M181" s="5"/>
      <c r="N181" s="5">
        <v>1</v>
      </c>
      <c r="O181" s="5"/>
      <c r="P181" s="5"/>
      <c r="Q181" s="5"/>
      <c r="R181" s="5">
        <v>1</v>
      </c>
      <c r="S181" s="5"/>
      <c r="T181" s="5"/>
      <c r="U181" s="5"/>
      <c r="V181" s="5"/>
      <c r="W181" s="5"/>
      <c r="X181" s="5"/>
      <c r="Y181" s="5"/>
      <c r="Z181" s="5"/>
      <c r="AA181" s="2" t="b">
        <f>VLOOKUP(all_inputs!E181,ui!A$29:B$33,2,FALSE)</f>
        <v>0</v>
      </c>
    </row>
    <row r="182" spans="1:27" hidden="1" x14ac:dyDescent="0.25">
      <c r="A182" t="s">
        <v>32</v>
      </c>
      <c r="B182">
        <f>IF(COUNTIF(dropdown!B$2:B$12,all_inputs!A182)=1,1,IF(COUNTIF(dropdown!C$2:C$4,all_inputs!A182)=1,2,IF(COUNTIF(dropdown!D$2:D$3,all_inputs!A182)=1,3,"?")))</f>
        <v>2</v>
      </c>
      <c r="C182" t="s">
        <v>13</v>
      </c>
      <c r="D182" t="s">
        <v>472</v>
      </c>
      <c r="E182" t="s">
        <v>460</v>
      </c>
      <c r="F182" s="4">
        <f>IF(AND(all_inputs!E182=dropdown!AA$8, COUNTIF(dropdown!AA$9:AA$19,all_inputs!A182)=1), dropdown!V$9, 1)</f>
        <v>1</v>
      </c>
      <c r="G182" s="4">
        <f>ui!B$4</f>
        <v>2025</v>
      </c>
      <c r="H182" s="4">
        <f>ui!B$5</f>
        <v>2050</v>
      </c>
      <c r="I182" s="4" t="s">
        <v>93</v>
      </c>
      <c r="J182" s="4" t="str">
        <f>VLOOKUP(ui!B$2,dropdown!M:O,3,FALSE)</f>
        <v>LIC</v>
      </c>
      <c r="K182" s="4"/>
      <c r="L182" s="4"/>
      <c r="M182" s="4"/>
      <c r="N182" s="4">
        <v>1</v>
      </c>
      <c r="O182" s="4"/>
      <c r="P182" s="4"/>
      <c r="Q182" s="4"/>
      <c r="R182" s="4">
        <v>1</v>
      </c>
      <c r="S182" s="4"/>
      <c r="T182" s="4"/>
      <c r="U182" s="4"/>
      <c r="V182" s="4"/>
      <c r="W182" s="4"/>
      <c r="X182" s="4"/>
      <c r="Y182" s="4"/>
      <c r="Z182" s="4"/>
      <c r="AA182" t="b">
        <f>VLOOKUP(all_inputs!E182,ui!A$29:B$33,2,FALSE)</f>
        <v>0</v>
      </c>
    </row>
    <row r="183" spans="1:27" hidden="1" x14ac:dyDescent="0.25">
      <c r="A183" t="s">
        <v>32</v>
      </c>
      <c r="B183">
        <f>IF(COUNTIF(dropdown!B$2:B$12,all_inputs!A183)=1,1,IF(COUNTIF(dropdown!C$2:C$4,all_inputs!A183)=1,2,IF(COUNTIF(dropdown!D$2:D$3,all_inputs!A183)=1,3,"?")))</f>
        <v>2</v>
      </c>
      <c r="C183" t="s">
        <v>14</v>
      </c>
      <c r="D183" t="s">
        <v>466</v>
      </c>
      <c r="E183" t="s">
        <v>460</v>
      </c>
      <c r="F183">
        <f>IF(AND(all_inputs!E183=dropdown!AA$8, COUNTIF(dropdown!AA$9:AA$19,all_inputs!A183)=1), dropdown!V$10, 1)</f>
        <v>1</v>
      </c>
      <c r="G183" s="4">
        <f>ui!B$4</f>
        <v>2025</v>
      </c>
      <c r="H183" s="4">
        <f>ui!B$5</f>
        <v>2050</v>
      </c>
      <c r="I183" s="4" t="s">
        <v>93</v>
      </c>
      <c r="J183" s="4" t="str">
        <f>VLOOKUP(ui!B$2,dropdown!M:O,3,FALSE)</f>
        <v>LIC</v>
      </c>
      <c r="K183" s="4"/>
      <c r="L183" s="4"/>
      <c r="M183" s="4"/>
      <c r="N183" s="4">
        <v>1</v>
      </c>
      <c r="O183" s="4"/>
      <c r="P183" s="4"/>
      <c r="Q183" s="4"/>
      <c r="R183" s="4">
        <v>1</v>
      </c>
      <c r="S183" s="4"/>
      <c r="T183" s="4"/>
      <c r="U183" s="4"/>
      <c r="V183" s="4"/>
      <c r="W183" s="4"/>
      <c r="X183" s="4"/>
      <c r="Y183" s="4"/>
      <c r="Z183" s="4"/>
      <c r="AA183" t="b">
        <f>VLOOKUP(all_inputs!E183,ui!A$29:B$33,2,FALSE)</f>
        <v>0</v>
      </c>
    </row>
    <row r="184" spans="1:27" hidden="1" x14ac:dyDescent="0.25">
      <c r="A184" t="s">
        <v>32</v>
      </c>
      <c r="B184">
        <f>IF(COUNTIF(dropdown!B$2:B$12,all_inputs!A184)=1,1,IF(COUNTIF(dropdown!C$2:C$4,all_inputs!A184)=1,2,IF(COUNTIF(dropdown!D$2:D$3,all_inputs!A184)=1,3,"?")))</f>
        <v>2</v>
      </c>
      <c r="C184" t="s">
        <v>15</v>
      </c>
      <c r="D184" t="s">
        <v>466</v>
      </c>
      <c r="E184" t="s">
        <v>460</v>
      </c>
      <c r="F184" s="4">
        <f>IF(AND(all_inputs!E184=dropdown!AA$8, COUNTIF(dropdown!AA$9:AA$19,all_inputs!A184)=1), dropdown!V$11, 1)</f>
        <v>1</v>
      </c>
      <c r="G184" s="4">
        <f>ui!B$4</f>
        <v>2025</v>
      </c>
      <c r="H184" s="4">
        <f>ui!B$5</f>
        <v>2050</v>
      </c>
      <c r="I184" s="4" t="s">
        <v>93</v>
      </c>
      <c r="J184" s="4" t="str">
        <f>VLOOKUP(ui!B$2,dropdown!M:O,3,FALSE)</f>
        <v>LIC</v>
      </c>
      <c r="K184" s="4"/>
      <c r="L184" s="4"/>
      <c r="M184" s="4"/>
      <c r="N184" s="4">
        <v>1</v>
      </c>
      <c r="O184" s="4"/>
      <c r="P184" s="4"/>
      <c r="Q184" s="4"/>
      <c r="R184" s="4">
        <v>1</v>
      </c>
      <c r="S184" s="4"/>
      <c r="T184" s="4"/>
      <c r="U184" s="4"/>
      <c r="V184" s="4"/>
      <c r="W184" s="4"/>
      <c r="X184" s="4"/>
      <c r="Y184" s="4"/>
      <c r="Z184" s="4"/>
      <c r="AA184" t="b">
        <f>VLOOKUP(all_inputs!E184,ui!A$29:B$33,2,FALSE)</f>
        <v>0</v>
      </c>
    </row>
    <row r="185" spans="1:27" hidden="1" x14ac:dyDescent="0.25">
      <c r="A185" t="s">
        <v>32</v>
      </c>
      <c r="B185">
        <f>IF(COUNTIF(dropdown!B$2:B$12,all_inputs!A185)=1,1,IF(COUNTIF(dropdown!C$2:C$4,all_inputs!A185)=1,2,IF(COUNTIF(dropdown!D$2:D$3,all_inputs!A185)=1,3,"?")))</f>
        <v>2</v>
      </c>
      <c r="C185" t="s">
        <v>16</v>
      </c>
      <c r="D185" t="s">
        <v>467</v>
      </c>
      <c r="E185" t="s">
        <v>460</v>
      </c>
      <c r="F185">
        <f>IF(AND(all_inputs!E185=dropdown!AA$8, COUNTIF(dropdown!AA$9:AA$19,all_inputs!A185)=1), dropdown!V$12, 1)</f>
        <v>1</v>
      </c>
      <c r="G185" s="4">
        <f>ui!B$4</f>
        <v>2025</v>
      </c>
      <c r="H185" s="4">
        <f>ui!B$5</f>
        <v>2050</v>
      </c>
      <c r="I185" s="4" t="s">
        <v>93</v>
      </c>
      <c r="J185" s="4" t="str">
        <f>VLOOKUP(ui!B$2,dropdown!M:O,3,FALSE)</f>
        <v>LIC</v>
      </c>
      <c r="K185" s="4"/>
      <c r="L185" s="4"/>
      <c r="M185" s="4"/>
      <c r="N185" s="4">
        <v>1</v>
      </c>
      <c r="O185" s="4"/>
      <c r="P185" s="4"/>
      <c r="Q185" s="4"/>
      <c r="R185" s="4">
        <v>1</v>
      </c>
      <c r="S185" s="4"/>
      <c r="T185" s="4"/>
      <c r="U185" s="4"/>
      <c r="V185" s="4"/>
      <c r="W185" s="4"/>
      <c r="X185" s="4"/>
      <c r="Y185" s="4"/>
      <c r="Z185" s="4"/>
      <c r="AA185" t="b">
        <f>VLOOKUP(all_inputs!E185,ui!A$29:B$33,2,FALSE)</f>
        <v>0</v>
      </c>
    </row>
    <row r="186" spans="1:27" hidden="1" x14ac:dyDescent="0.25">
      <c r="A186" t="s">
        <v>32</v>
      </c>
      <c r="B186">
        <f>IF(COUNTIF(dropdown!B$2:B$12,all_inputs!A186)=1,1,IF(COUNTIF(dropdown!C$2:C$4,all_inputs!A186)=1,2,IF(COUNTIF(dropdown!D$2:D$3,all_inputs!A186)=1,3,"?")))</f>
        <v>2</v>
      </c>
      <c r="C186" t="s">
        <v>17</v>
      </c>
      <c r="D186" t="s">
        <v>468</v>
      </c>
      <c r="E186" t="s">
        <v>460</v>
      </c>
      <c r="F186">
        <f>IF(AND(all_inputs!E186=dropdown!AA$8, COUNTIF(dropdown!AA$9:AA$19,all_inputs!A186)=1), dropdown!V$13, 1)</f>
        <v>1</v>
      </c>
      <c r="G186" s="4">
        <f>ui!B$4</f>
        <v>2025</v>
      </c>
      <c r="H186" s="4">
        <f>ui!B$5</f>
        <v>2050</v>
      </c>
      <c r="I186" s="4" t="s">
        <v>93</v>
      </c>
      <c r="J186" s="4" t="str">
        <f>VLOOKUP(ui!B$2,dropdown!M:O,3,FALSE)</f>
        <v>LIC</v>
      </c>
      <c r="K186" s="4"/>
      <c r="L186" s="4"/>
      <c r="M186" s="4"/>
      <c r="N186" s="4">
        <v>1</v>
      </c>
      <c r="O186" s="4"/>
      <c r="P186" s="4"/>
      <c r="Q186" s="4"/>
      <c r="R186" s="4">
        <v>1</v>
      </c>
      <c r="S186" s="4"/>
      <c r="T186" s="4"/>
      <c r="U186" s="4"/>
      <c r="V186" s="4"/>
      <c r="W186" s="4"/>
      <c r="X186" s="4"/>
      <c r="Y186" s="4"/>
      <c r="Z186" s="4"/>
      <c r="AA186" t="b">
        <f>VLOOKUP(all_inputs!E186,ui!A$29:B$33,2,FALSE)</f>
        <v>0</v>
      </c>
    </row>
    <row r="187" spans="1:27" hidden="1" x14ac:dyDescent="0.25">
      <c r="A187" s="2" t="s">
        <v>32</v>
      </c>
      <c r="B187" s="2">
        <f>IF(COUNTIF(dropdown!B$2:B$12,all_inputs!A187)=1,1,IF(COUNTIF(dropdown!C$2:C$4,all_inputs!A187)=1,2,IF(COUNTIF(dropdown!D$2:D$3,all_inputs!A187)=1,3,"?")))</f>
        <v>2</v>
      </c>
      <c r="C187" s="2" t="s">
        <v>18</v>
      </c>
      <c r="D187" s="2" t="s">
        <v>469</v>
      </c>
      <c r="E187" s="2" t="s">
        <v>460</v>
      </c>
      <c r="F187" s="2">
        <f>IF(AND(all_inputs!E187=dropdown!AA$8, COUNTIF(dropdown!AA$9:AA$19,all_inputs!A187)=1), dropdown!V$14, 1)</f>
        <v>1</v>
      </c>
      <c r="G187" s="5">
        <f>ui!B$4</f>
        <v>2025</v>
      </c>
      <c r="H187" s="5">
        <f>ui!B$5</f>
        <v>2050</v>
      </c>
      <c r="I187" s="5" t="s">
        <v>93</v>
      </c>
      <c r="J187" s="5" t="str">
        <f>VLOOKUP(ui!B$2,dropdown!M:O,3,FALSE)</f>
        <v>LIC</v>
      </c>
      <c r="K187" s="5"/>
      <c r="L187" s="5"/>
      <c r="M187" s="5"/>
      <c r="N187" s="5">
        <v>1</v>
      </c>
      <c r="O187" s="5"/>
      <c r="P187" s="5"/>
      <c r="Q187" s="5"/>
      <c r="R187" s="5">
        <v>1</v>
      </c>
      <c r="S187" s="5"/>
      <c r="T187" s="5"/>
      <c r="U187" s="5"/>
      <c r="V187" s="5"/>
      <c r="W187" s="5"/>
      <c r="X187" s="5"/>
      <c r="Y187" s="5"/>
      <c r="Z187" s="5"/>
      <c r="AA187" s="2" t="b">
        <f>VLOOKUP(all_inputs!E187,ui!A$29:B$33,2,FALSE)</f>
        <v>0</v>
      </c>
    </row>
    <row r="188" spans="1:27" hidden="1" x14ac:dyDescent="0.25">
      <c r="A188" t="s">
        <v>33</v>
      </c>
      <c r="B188">
        <f>IF(COUNTIF(dropdown!B$2:B$12,all_inputs!A188)=1,1,IF(COUNTIF(dropdown!C$2:C$4,all_inputs!A188)=1,2,IF(COUNTIF(dropdown!D$2:D$3,all_inputs!A188)=1,3,"?")))</f>
        <v>1</v>
      </c>
      <c r="C188" t="s">
        <v>13</v>
      </c>
      <c r="D188" t="s">
        <v>472</v>
      </c>
      <c r="E188" t="s">
        <v>460</v>
      </c>
      <c r="F188" s="4">
        <f>IF(AND(all_inputs!E188=dropdown!AA$8, COUNTIF(dropdown!AA$9:AA$19,all_inputs!A188)=1), dropdown!V$9, 1)</f>
        <v>1</v>
      </c>
      <c r="G188" s="4">
        <f>ui!B$4</f>
        <v>2025</v>
      </c>
      <c r="H188" s="4">
        <f>ui!B$5</f>
        <v>2050</v>
      </c>
      <c r="I188" s="4" t="s">
        <v>93</v>
      </c>
      <c r="J188" s="4" t="str">
        <f>VLOOKUP(ui!B$2,dropdown!M:O,3,FALSE)</f>
        <v>LIC</v>
      </c>
      <c r="K188" s="4"/>
      <c r="L188" s="4"/>
      <c r="M188" s="4"/>
      <c r="N188" s="4">
        <v>1</v>
      </c>
      <c r="O188" s="4"/>
      <c r="P188" s="4"/>
      <c r="Q188" s="4"/>
      <c r="R188" s="4">
        <v>1</v>
      </c>
      <c r="S188" s="4"/>
      <c r="T188" s="4"/>
      <c r="U188" s="4"/>
      <c r="V188" s="4"/>
      <c r="W188" s="4"/>
      <c r="X188" s="4"/>
      <c r="Y188" s="4"/>
      <c r="Z188" s="4"/>
      <c r="AA188" t="b">
        <f>VLOOKUP(all_inputs!E188,ui!A$29:B$33,2,FALSE)</f>
        <v>0</v>
      </c>
    </row>
    <row r="189" spans="1:27" hidden="1" x14ac:dyDescent="0.25">
      <c r="A189" t="s">
        <v>33</v>
      </c>
      <c r="B189">
        <f>IF(COUNTIF(dropdown!B$2:B$12,all_inputs!A189)=1,1,IF(COUNTIF(dropdown!C$2:C$4,all_inputs!A189)=1,2,IF(COUNTIF(dropdown!D$2:D$3,all_inputs!A189)=1,3,"?")))</f>
        <v>1</v>
      </c>
      <c r="C189" t="s">
        <v>14</v>
      </c>
      <c r="D189" t="s">
        <v>466</v>
      </c>
      <c r="E189" t="s">
        <v>460</v>
      </c>
      <c r="F189">
        <f>IF(AND(all_inputs!E189=dropdown!AA$8, COUNTIF(dropdown!AA$9:AA$19,all_inputs!A189)=1), dropdown!V$10, 1)</f>
        <v>1</v>
      </c>
      <c r="G189" s="4">
        <f>ui!B$4</f>
        <v>2025</v>
      </c>
      <c r="H189" s="4">
        <f>ui!B$5</f>
        <v>2050</v>
      </c>
      <c r="I189" s="4" t="s">
        <v>93</v>
      </c>
      <c r="J189" s="4" t="str">
        <f>VLOOKUP(ui!B$2,dropdown!M:O,3,FALSE)</f>
        <v>LIC</v>
      </c>
      <c r="K189" s="4"/>
      <c r="L189" s="4"/>
      <c r="M189" s="4"/>
      <c r="N189" s="4">
        <v>1</v>
      </c>
      <c r="O189" s="4"/>
      <c r="P189" s="4"/>
      <c r="Q189" s="4"/>
      <c r="R189" s="4">
        <v>1</v>
      </c>
      <c r="S189" s="4"/>
      <c r="T189" s="4"/>
      <c r="U189" s="4"/>
      <c r="V189" s="4"/>
      <c r="W189" s="4"/>
      <c r="X189" s="4"/>
      <c r="Y189" s="4"/>
      <c r="Z189" s="4"/>
      <c r="AA189" t="b">
        <f>VLOOKUP(all_inputs!E189,ui!A$29:B$33,2,FALSE)</f>
        <v>0</v>
      </c>
    </row>
    <row r="190" spans="1:27" hidden="1" x14ac:dyDescent="0.25">
      <c r="A190" t="s">
        <v>33</v>
      </c>
      <c r="B190">
        <f>IF(COUNTIF(dropdown!B$2:B$12,all_inputs!A190)=1,1,IF(COUNTIF(dropdown!C$2:C$4,all_inputs!A190)=1,2,IF(COUNTIF(dropdown!D$2:D$3,all_inputs!A190)=1,3,"?")))</f>
        <v>1</v>
      </c>
      <c r="C190" t="s">
        <v>15</v>
      </c>
      <c r="D190" t="s">
        <v>466</v>
      </c>
      <c r="E190" t="s">
        <v>460</v>
      </c>
      <c r="F190" s="4">
        <f>IF(AND(all_inputs!E190=dropdown!AA$8, COUNTIF(dropdown!AA$9:AA$19,all_inputs!A190)=1), dropdown!V$11, 1)</f>
        <v>1</v>
      </c>
      <c r="G190" s="4">
        <f>ui!B$4</f>
        <v>2025</v>
      </c>
      <c r="H190" s="4">
        <f>ui!B$5</f>
        <v>2050</v>
      </c>
      <c r="I190" s="4" t="s">
        <v>93</v>
      </c>
      <c r="J190" s="4" t="str">
        <f>VLOOKUP(ui!B$2,dropdown!M:O,3,FALSE)</f>
        <v>LIC</v>
      </c>
      <c r="K190" s="4"/>
      <c r="L190" s="4"/>
      <c r="M190" s="4"/>
      <c r="N190" s="4">
        <v>1</v>
      </c>
      <c r="O190" s="4"/>
      <c r="P190" s="4"/>
      <c r="Q190" s="4"/>
      <c r="R190" s="4">
        <v>1</v>
      </c>
      <c r="S190" s="4"/>
      <c r="T190" s="4"/>
      <c r="U190" s="4"/>
      <c r="V190" s="4"/>
      <c r="W190" s="4"/>
      <c r="X190" s="4"/>
      <c r="Y190" s="4"/>
      <c r="Z190" s="4"/>
      <c r="AA190" t="b">
        <f>VLOOKUP(all_inputs!E190,ui!A$29:B$33,2,FALSE)</f>
        <v>0</v>
      </c>
    </row>
    <row r="191" spans="1:27" hidden="1" x14ac:dyDescent="0.25">
      <c r="A191" t="s">
        <v>33</v>
      </c>
      <c r="B191">
        <f>IF(COUNTIF(dropdown!B$2:B$12,all_inputs!A191)=1,1,IF(COUNTIF(dropdown!C$2:C$4,all_inputs!A191)=1,2,IF(COUNTIF(dropdown!D$2:D$3,all_inputs!A191)=1,3,"?")))</f>
        <v>1</v>
      </c>
      <c r="C191" t="s">
        <v>16</v>
      </c>
      <c r="D191" t="s">
        <v>467</v>
      </c>
      <c r="E191" t="s">
        <v>460</v>
      </c>
      <c r="F191" s="4">
        <f>IF(AND(all_inputs!E191=dropdown!AA$8, COUNTIF(dropdown!AA$9:AA$19,all_inputs!A191)=1), dropdown!V$12, 1)</f>
        <v>1</v>
      </c>
      <c r="G191" s="4">
        <f>ui!B$4</f>
        <v>2025</v>
      </c>
      <c r="H191" s="4">
        <f>ui!B$5</f>
        <v>2050</v>
      </c>
      <c r="I191" s="4" t="s">
        <v>93</v>
      </c>
      <c r="J191" s="4" t="str">
        <f>VLOOKUP(ui!B$2,dropdown!M:O,3,FALSE)</f>
        <v>LIC</v>
      </c>
      <c r="K191" s="4"/>
      <c r="L191" s="4"/>
      <c r="M191" s="4"/>
      <c r="N191" s="4">
        <v>1</v>
      </c>
      <c r="O191" s="4"/>
      <c r="P191" s="4"/>
      <c r="Q191" s="4"/>
      <c r="R191" s="4">
        <v>1</v>
      </c>
      <c r="S191" s="4"/>
      <c r="T191" s="4"/>
      <c r="U191" s="4"/>
      <c r="V191" s="4"/>
      <c r="W191" s="4"/>
      <c r="X191" s="4"/>
      <c r="Y191" s="4"/>
      <c r="Z191" s="4"/>
      <c r="AA191" t="b">
        <f>VLOOKUP(all_inputs!E191,ui!A$29:B$33,2,FALSE)</f>
        <v>0</v>
      </c>
    </row>
    <row r="192" spans="1:27" hidden="1" x14ac:dyDescent="0.25">
      <c r="A192" t="s">
        <v>33</v>
      </c>
      <c r="B192">
        <f>IF(COUNTIF(dropdown!B$2:B$12,all_inputs!A192)=1,1,IF(COUNTIF(dropdown!C$2:C$4,all_inputs!A192)=1,2,IF(COUNTIF(dropdown!D$2:D$3,all_inputs!A192)=1,3,"?")))</f>
        <v>1</v>
      </c>
      <c r="C192" t="s">
        <v>17</v>
      </c>
      <c r="D192" t="s">
        <v>468</v>
      </c>
      <c r="E192" t="s">
        <v>460</v>
      </c>
      <c r="F192" s="4">
        <f>IF(AND(all_inputs!E192=dropdown!AA$8, COUNTIF(dropdown!AA$9:AA$19,all_inputs!A192)=1), dropdown!V$13, 1)</f>
        <v>1</v>
      </c>
      <c r="G192" s="4">
        <f>ui!B$4</f>
        <v>2025</v>
      </c>
      <c r="H192" s="4">
        <f>ui!B$5</f>
        <v>2050</v>
      </c>
      <c r="I192" s="4" t="s">
        <v>93</v>
      </c>
      <c r="J192" s="4" t="str">
        <f>VLOOKUP(ui!B$2,dropdown!M:O,3,FALSE)</f>
        <v>LIC</v>
      </c>
      <c r="K192" s="4"/>
      <c r="L192" s="4"/>
      <c r="M192" s="4"/>
      <c r="N192" s="4">
        <v>1</v>
      </c>
      <c r="O192" s="4"/>
      <c r="P192" s="4"/>
      <c r="Q192" s="4"/>
      <c r="R192" s="4">
        <v>1</v>
      </c>
      <c r="S192" s="4"/>
      <c r="T192" s="4"/>
      <c r="U192" s="4"/>
      <c r="V192" s="4"/>
      <c r="W192" s="4"/>
      <c r="X192" s="4"/>
      <c r="Y192" s="4"/>
      <c r="Z192" s="4"/>
      <c r="AA192" t="b">
        <f>VLOOKUP(all_inputs!E192,ui!A$29:B$33,2,FALSE)</f>
        <v>0</v>
      </c>
    </row>
    <row r="193" spans="1:27" hidden="1" x14ac:dyDescent="0.25">
      <c r="A193" s="2" t="s">
        <v>33</v>
      </c>
      <c r="B193" s="2">
        <f>IF(COUNTIF(dropdown!B$2:B$12,all_inputs!A193)=1,1,IF(COUNTIF(dropdown!C$2:C$4,all_inputs!A193)=1,2,IF(COUNTIF(dropdown!D$2:D$3,all_inputs!A193)=1,3,"?")))</f>
        <v>1</v>
      </c>
      <c r="C193" s="2" t="s">
        <v>18</v>
      </c>
      <c r="D193" s="2" t="s">
        <v>469</v>
      </c>
      <c r="E193" s="2" t="s">
        <v>460</v>
      </c>
      <c r="F193" s="2">
        <f>IF(AND(all_inputs!E193=dropdown!AA$8, COUNTIF(dropdown!AA$9:AA$19,all_inputs!A193)=1), dropdown!V$14, 1)</f>
        <v>1</v>
      </c>
      <c r="G193" s="5">
        <f>ui!B$4</f>
        <v>2025</v>
      </c>
      <c r="H193" s="5">
        <f>ui!B$5</f>
        <v>2050</v>
      </c>
      <c r="I193" s="5" t="s">
        <v>93</v>
      </c>
      <c r="J193" s="5" t="str">
        <f>VLOOKUP(ui!B$2,dropdown!M:O,3,FALSE)</f>
        <v>LIC</v>
      </c>
      <c r="K193" s="5"/>
      <c r="L193" s="5"/>
      <c r="M193" s="5"/>
      <c r="N193" s="5">
        <v>1</v>
      </c>
      <c r="O193" s="5"/>
      <c r="P193" s="5"/>
      <c r="Q193" s="5"/>
      <c r="R193" s="5">
        <v>1</v>
      </c>
      <c r="S193" s="5"/>
      <c r="T193" s="5"/>
      <c r="U193" s="5"/>
      <c r="V193" s="5"/>
      <c r="W193" s="5"/>
      <c r="X193" s="5"/>
      <c r="Y193" s="5"/>
      <c r="Z193" s="5"/>
      <c r="AA193" s="2" t="b">
        <f>VLOOKUP(all_inputs!E193,ui!A$29:B$33,2,FALSE)</f>
        <v>0</v>
      </c>
    </row>
    <row r="194" spans="1:27" hidden="1" x14ac:dyDescent="0.25">
      <c r="A194" t="s">
        <v>12</v>
      </c>
      <c r="B194">
        <f>IF(COUNTIF(dropdown!B$2:B$12,all_inputs!A194)=1,1,IF(COUNTIF(dropdown!C$2:C$4,all_inputs!A194)=1,2,IF(COUNTIF(dropdown!D$2:D$3,all_inputs!A194)=1,3,"?")))</f>
        <v>1</v>
      </c>
      <c r="C194" t="s">
        <v>13</v>
      </c>
      <c r="D194" t="s">
        <v>472</v>
      </c>
      <c r="E194" t="s">
        <v>462</v>
      </c>
      <c r="F194" s="4">
        <v>1</v>
      </c>
      <c r="G194" s="4">
        <f>ui!B$4</f>
        <v>2025</v>
      </c>
      <c r="H194" s="4">
        <f>ui!B$5</f>
        <v>2050</v>
      </c>
      <c r="I194" s="4" t="s">
        <v>93</v>
      </c>
      <c r="J194" s="4" t="str">
        <f>VLOOKUP(ui!B$2,dropdown!M:O,3,FALSE)</f>
        <v>LIC</v>
      </c>
      <c r="K194" s="4"/>
      <c r="L194" s="4"/>
      <c r="M194" s="4"/>
      <c r="N194" s="4">
        <v>1</v>
      </c>
      <c r="O194" s="4"/>
      <c r="P194" s="4"/>
      <c r="Q194" s="4"/>
      <c r="R194" s="4">
        <v>1</v>
      </c>
      <c r="S194" s="4"/>
      <c r="T194" s="4"/>
      <c r="U194" s="4"/>
      <c r="V194" s="4"/>
      <c r="W194" s="4"/>
      <c r="X194" s="4"/>
      <c r="Y194" s="4"/>
      <c r="Z194" s="4"/>
      <c r="AA194" t="b">
        <f>VLOOKUP(all_inputs!E194,ui!A$29:B$33,2,FALSE)</f>
        <v>0</v>
      </c>
    </row>
    <row r="195" spans="1:27" hidden="1" x14ac:dyDescent="0.25">
      <c r="A195" t="s">
        <v>12</v>
      </c>
      <c r="B195">
        <f>IF(COUNTIF(dropdown!B$2:B$12,all_inputs!A195)=1,1,IF(COUNTIF(dropdown!C$2:C$4,all_inputs!A195)=1,2,IF(COUNTIF(dropdown!D$2:D$3,all_inputs!A195)=1,3,"?")))</f>
        <v>1</v>
      </c>
      <c r="C195" t="s">
        <v>14</v>
      </c>
      <c r="D195" t="s">
        <v>466</v>
      </c>
      <c r="E195" t="s">
        <v>462</v>
      </c>
      <c r="F195">
        <f>IF(AND(all_inputs!E195=dropdown!Z$8, COUNTIF(dropdown!Z$9:Z$19,all_inputs!A195)=1), dropdown!U$10, 1)</f>
        <v>1</v>
      </c>
      <c r="G195" s="4">
        <f>ui!B$4</f>
        <v>2025</v>
      </c>
      <c r="H195" s="4">
        <f>ui!B$5</f>
        <v>2050</v>
      </c>
      <c r="I195" s="4" t="s">
        <v>93</v>
      </c>
      <c r="J195" s="4" t="str">
        <f>VLOOKUP(ui!B$2,dropdown!M:O,3,FALSE)</f>
        <v>LIC</v>
      </c>
      <c r="K195" s="4"/>
      <c r="L195" s="4"/>
      <c r="M195" s="4"/>
      <c r="N195" s="4">
        <v>1</v>
      </c>
      <c r="O195" s="4"/>
      <c r="P195" s="4"/>
      <c r="Q195" s="4"/>
      <c r="R195" s="4">
        <v>1</v>
      </c>
      <c r="S195" s="4"/>
      <c r="T195" s="4"/>
      <c r="U195" s="4"/>
      <c r="V195" s="4"/>
      <c r="W195" s="4"/>
      <c r="X195" s="4"/>
      <c r="Y195" s="4"/>
      <c r="Z195" s="4"/>
      <c r="AA195" t="b">
        <f>VLOOKUP(all_inputs!E195,ui!A$29:B$33,2,FALSE)</f>
        <v>0</v>
      </c>
    </row>
    <row r="196" spans="1:27" hidden="1" x14ac:dyDescent="0.25">
      <c r="A196" t="s">
        <v>12</v>
      </c>
      <c r="B196">
        <f>IF(COUNTIF(dropdown!B$2:B$12,all_inputs!A196)=1,1,IF(COUNTIF(dropdown!C$2:C$4,all_inputs!A196)=1,2,IF(COUNTIF(dropdown!D$2:D$3,all_inputs!A196)=1,3,"?")))</f>
        <v>1</v>
      </c>
      <c r="C196" t="s">
        <v>15</v>
      </c>
      <c r="D196" t="s">
        <v>466</v>
      </c>
      <c r="E196" t="s">
        <v>462</v>
      </c>
      <c r="F196" s="4">
        <v>1</v>
      </c>
      <c r="G196" s="4">
        <f>ui!B$4</f>
        <v>2025</v>
      </c>
      <c r="H196" s="4">
        <f>ui!B$5</f>
        <v>2050</v>
      </c>
      <c r="I196" s="4" t="s">
        <v>93</v>
      </c>
      <c r="J196" s="4" t="str">
        <f>VLOOKUP(ui!B$2,dropdown!M:O,3,FALSE)</f>
        <v>LIC</v>
      </c>
      <c r="K196" s="4"/>
      <c r="L196" s="4"/>
      <c r="M196" s="4"/>
      <c r="N196" s="4">
        <v>1</v>
      </c>
      <c r="O196" s="4"/>
      <c r="P196" s="4"/>
      <c r="Q196" s="4"/>
      <c r="R196" s="4">
        <v>1</v>
      </c>
      <c r="S196" s="4"/>
      <c r="T196" s="4"/>
      <c r="U196" s="4"/>
      <c r="V196" s="4"/>
      <c r="W196" s="4"/>
      <c r="X196" s="4"/>
      <c r="Y196" s="4"/>
      <c r="Z196" s="4"/>
      <c r="AA196" t="b">
        <f>VLOOKUP(all_inputs!E196,ui!A$29:B$33,2,FALSE)</f>
        <v>0</v>
      </c>
    </row>
    <row r="197" spans="1:27" hidden="1" x14ac:dyDescent="0.25">
      <c r="A197" t="s">
        <v>12</v>
      </c>
      <c r="B197">
        <f>IF(COUNTIF(dropdown!B$2:B$12,all_inputs!A197)=1,1,IF(COUNTIF(dropdown!C$2:C$4,all_inputs!A197)=1,2,IF(COUNTIF(dropdown!D$2:D$3,all_inputs!A197)=1,3,"?")))</f>
        <v>1</v>
      </c>
      <c r="C197" t="s">
        <v>16</v>
      </c>
      <c r="D197" t="s">
        <v>467</v>
      </c>
      <c r="E197" t="s">
        <v>462</v>
      </c>
      <c r="F197">
        <f>IF(AND(all_inputs!E197=dropdown!Z$8, COUNTIF(dropdown!Z$9:Z$19,all_inputs!A197)=1), dropdown!U$12, 1)</f>
        <v>1</v>
      </c>
      <c r="G197" s="4">
        <f>ui!B$4</f>
        <v>2025</v>
      </c>
      <c r="H197" s="4">
        <f>ui!B$5</f>
        <v>2050</v>
      </c>
      <c r="I197" s="4" t="s">
        <v>93</v>
      </c>
      <c r="J197" s="4" t="str">
        <f>VLOOKUP(ui!B$2,dropdown!M:O,3,FALSE)</f>
        <v>LIC</v>
      </c>
      <c r="K197" s="4"/>
      <c r="L197" s="4"/>
      <c r="M197" s="4"/>
      <c r="N197" s="4">
        <v>1</v>
      </c>
      <c r="O197" s="4"/>
      <c r="P197" s="4"/>
      <c r="Q197" s="4"/>
      <c r="R197" s="4">
        <v>1</v>
      </c>
      <c r="S197" s="4"/>
      <c r="T197" s="4"/>
      <c r="U197" s="4"/>
      <c r="V197" s="4"/>
      <c r="W197" s="4"/>
      <c r="X197" s="4"/>
      <c r="Y197" s="4"/>
      <c r="Z197" s="4"/>
      <c r="AA197" t="b">
        <f>VLOOKUP(all_inputs!E197,ui!A$29:B$33,2,FALSE)</f>
        <v>0</v>
      </c>
    </row>
    <row r="198" spans="1:27" hidden="1" x14ac:dyDescent="0.25">
      <c r="A198" t="s">
        <v>12</v>
      </c>
      <c r="B198">
        <f>IF(COUNTIF(dropdown!B$2:B$12,all_inputs!A198)=1,1,IF(COUNTIF(dropdown!C$2:C$4,all_inputs!A198)=1,2,IF(COUNTIF(dropdown!D$2:D$3,all_inputs!A198)=1,3,"?")))</f>
        <v>1</v>
      </c>
      <c r="C198" t="s">
        <v>17</v>
      </c>
      <c r="D198" t="s">
        <v>468</v>
      </c>
      <c r="E198" t="s">
        <v>462</v>
      </c>
      <c r="F198">
        <f>IF(AND(all_inputs!E198=dropdown!Z$8, COUNTIF(dropdown!Z$9:Z$19,all_inputs!A198)=1), dropdown!U$13, 1)</f>
        <v>1</v>
      </c>
      <c r="G198" s="4">
        <f>ui!B$4</f>
        <v>2025</v>
      </c>
      <c r="H198" s="4">
        <f>ui!B$5</f>
        <v>2050</v>
      </c>
      <c r="I198" s="4" t="s">
        <v>93</v>
      </c>
      <c r="J198" s="4" t="str">
        <f>VLOOKUP(ui!B$2,dropdown!M:O,3,FALSE)</f>
        <v>LIC</v>
      </c>
      <c r="K198" s="4"/>
      <c r="L198" s="4"/>
      <c r="M198" s="4"/>
      <c r="N198" s="4">
        <v>1</v>
      </c>
      <c r="O198" s="4"/>
      <c r="P198" s="4"/>
      <c r="Q198" s="4"/>
      <c r="R198" s="4">
        <v>1</v>
      </c>
      <c r="S198" s="4"/>
      <c r="T198" s="4"/>
      <c r="U198" s="4"/>
      <c r="V198" s="4"/>
      <c r="W198" s="4"/>
      <c r="X198" s="4"/>
      <c r="Y198" s="4"/>
      <c r="Z198" s="4"/>
      <c r="AA198" t="b">
        <f>VLOOKUP(all_inputs!E198,ui!A$29:B$33,2,FALSE)</f>
        <v>0</v>
      </c>
    </row>
    <row r="199" spans="1:27" hidden="1" x14ac:dyDescent="0.25">
      <c r="A199" s="2" t="s">
        <v>12</v>
      </c>
      <c r="B199" s="2">
        <f>IF(COUNTIF(dropdown!B$2:B$12,all_inputs!A199)=1,1,IF(COUNTIF(dropdown!C$2:C$4,all_inputs!A199)=1,2,IF(COUNTIF(dropdown!D$2:D$3,all_inputs!A199)=1,3,"?")))</f>
        <v>1</v>
      </c>
      <c r="C199" s="2" t="s">
        <v>18</v>
      </c>
      <c r="D199" s="2" t="s">
        <v>469</v>
      </c>
      <c r="E199" s="2" t="s">
        <v>462</v>
      </c>
      <c r="F199" s="2">
        <f>IF(AND(all_inputs!E199=dropdown!Z$8, COUNTIF(dropdown!Z$9:Z$19,all_inputs!A199)=1), dropdown!U$14, 1)</f>
        <v>1</v>
      </c>
      <c r="G199" s="5">
        <f>ui!B$4</f>
        <v>2025</v>
      </c>
      <c r="H199" s="5">
        <f>ui!B$5</f>
        <v>2050</v>
      </c>
      <c r="I199" s="5" t="s">
        <v>93</v>
      </c>
      <c r="J199" s="5" t="str">
        <f>VLOOKUP(ui!B$2,dropdown!M:O,3,FALSE)</f>
        <v>LIC</v>
      </c>
      <c r="K199" s="5"/>
      <c r="L199" s="5"/>
      <c r="M199" s="5"/>
      <c r="N199" s="5">
        <v>1</v>
      </c>
      <c r="O199" s="5"/>
      <c r="P199" s="5"/>
      <c r="Q199" s="5"/>
      <c r="R199" s="5">
        <v>1</v>
      </c>
      <c r="S199" s="5"/>
      <c r="T199" s="5"/>
      <c r="U199" s="5"/>
      <c r="V199" s="5"/>
      <c r="W199" s="5"/>
      <c r="X199" s="5"/>
      <c r="Y199" s="5"/>
      <c r="Z199" s="5"/>
      <c r="AA199" s="2" t="b">
        <f>VLOOKUP(all_inputs!E199,ui!A$29:B$33,2,FALSE)</f>
        <v>0</v>
      </c>
    </row>
    <row r="200" spans="1:27" hidden="1" x14ac:dyDescent="0.25">
      <c r="A200" t="s">
        <v>19</v>
      </c>
      <c r="B200">
        <f>IF(COUNTIF(dropdown!B$2:B$12,all_inputs!A200)=1,1,IF(COUNTIF(dropdown!C$2:C$4,all_inputs!A200)=1,2,IF(COUNTIF(dropdown!D$2:D$3,all_inputs!A200)=1,3,"?")))</f>
        <v>2</v>
      </c>
      <c r="C200" t="s">
        <v>13</v>
      </c>
      <c r="D200" t="s">
        <v>472</v>
      </c>
      <c r="E200" t="s">
        <v>462</v>
      </c>
      <c r="F200">
        <f>IF(AND(all_inputs!E200=dropdown!Z$8, COUNTIF(dropdown!Z$9:Z$19,all_inputs!A200)=1), dropdown!U$9, 1)</f>
        <v>1</v>
      </c>
      <c r="G200" s="4">
        <f>ui!B$4</f>
        <v>2025</v>
      </c>
      <c r="H200" s="4">
        <f>ui!B$5</f>
        <v>2050</v>
      </c>
      <c r="I200" s="4" t="s">
        <v>93</v>
      </c>
      <c r="J200" s="4" t="str">
        <f>VLOOKUP(ui!B$2,dropdown!M:O,3,FALSE)</f>
        <v>LIC</v>
      </c>
      <c r="K200" s="4"/>
      <c r="L200" s="4"/>
      <c r="M200" s="4"/>
      <c r="N200" s="4">
        <v>1</v>
      </c>
      <c r="O200" s="4"/>
      <c r="P200" s="4"/>
      <c r="Q200" s="4"/>
      <c r="R200" s="4">
        <v>1</v>
      </c>
      <c r="S200" s="4"/>
      <c r="T200" s="4"/>
      <c r="U200" s="4"/>
      <c r="V200" s="4"/>
      <c r="W200" s="4"/>
      <c r="X200" s="4"/>
      <c r="Y200" s="4"/>
      <c r="Z200" s="4"/>
      <c r="AA200" t="b">
        <f>VLOOKUP(all_inputs!E200,ui!A$29:B$33,2,FALSE)</f>
        <v>0</v>
      </c>
    </row>
    <row r="201" spans="1:27" hidden="1" x14ac:dyDescent="0.25">
      <c r="A201" t="s">
        <v>19</v>
      </c>
      <c r="B201">
        <f>IF(COUNTIF(dropdown!B$2:B$12,all_inputs!A201)=1,1,IF(COUNTIF(dropdown!C$2:C$4,all_inputs!A201)=1,2,IF(COUNTIF(dropdown!D$2:D$3,all_inputs!A201)=1,3,"?")))</f>
        <v>2</v>
      </c>
      <c r="C201" t="s">
        <v>14</v>
      </c>
      <c r="D201" t="s">
        <v>466</v>
      </c>
      <c r="E201" t="s">
        <v>462</v>
      </c>
      <c r="F201" s="4">
        <v>1</v>
      </c>
      <c r="G201" s="4">
        <f>ui!B$4</f>
        <v>2025</v>
      </c>
      <c r="H201" s="4">
        <f>ui!B$5</f>
        <v>2050</v>
      </c>
      <c r="I201" s="4" t="s">
        <v>93</v>
      </c>
      <c r="J201" s="4" t="str">
        <f>VLOOKUP(ui!B$2,dropdown!M:O,3,FALSE)</f>
        <v>LIC</v>
      </c>
      <c r="K201" s="4"/>
      <c r="L201" s="4"/>
      <c r="M201" s="4"/>
      <c r="N201" s="4">
        <v>1</v>
      </c>
      <c r="O201" s="4"/>
      <c r="P201" s="4"/>
      <c r="Q201" s="4"/>
      <c r="R201" s="4">
        <v>1</v>
      </c>
      <c r="S201" s="4"/>
      <c r="T201" s="4"/>
      <c r="U201" s="4"/>
      <c r="V201" s="4"/>
      <c r="W201" s="4"/>
      <c r="X201" s="4"/>
      <c r="Y201" s="4"/>
      <c r="Z201" s="4"/>
      <c r="AA201" t="b">
        <f>VLOOKUP(all_inputs!E201,ui!A$29:B$33,2,FALSE)</f>
        <v>0</v>
      </c>
    </row>
    <row r="202" spans="1:27" hidden="1" x14ac:dyDescent="0.25">
      <c r="A202" t="s">
        <v>19</v>
      </c>
      <c r="B202">
        <f>IF(COUNTIF(dropdown!B$2:B$12,all_inputs!A202)=1,1,IF(COUNTIF(dropdown!C$2:C$4,all_inputs!A202)=1,2,IF(COUNTIF(dropdown!D$2:D$3,all_inputs!A202)=1,3,"?")))</f>
        <v>2</v>
      </c>
      <c r="C202" t="s">
        <v>15</v>
      </c>
      <c r="D202" t="s">
        <v>466</v>
      </c>
      <c r="E202" t="s">
        <v>462</v>
      </c>
      <c r="F202">
        <f>IF(AND(all_inputs!E202=dropdown!Z$8, COUNTIF(dropdown!Z$9:Z$19,all_inputs!A202)=1), dropdown!U$11, 1)</f>
        <v>1</v>
      </c>
      <c r="G202" s="4">
        <f>ui!B$4</f>
        <v>2025</v>
      </c>
      <c r="H202" s="4">
        <f>ui!B$5</f>
        <v>2050</v>
      </c>
      <c r="I202" s="4" t="s">
        <v>93</v>
      </c>
      <c r="J202" s="4" t="str">
        <f>VLOOKUP(ui!B$2,dropdown!M:O,3,FALSE)</f>
        <v>LIC</v>
      </c>
      <c r="K202" s="4"/>
      <c r="L202" s="4"/>
      <c r="M202" s="4"/>
      <c r="N202" s="4">
        <v>1</v>
      </c>
      <c r="O202" s="4"/>
      <c r="P202" s="4"/>
      <c r="Q202" s="4"/>
      <c r="R202" s="4">
        <v>1</v>
      </c>
      <c r="S202" s="4"/>
      <c r="T202" s="4"/>
      <c r="U202" s="4"/>
      <c r="V202" s="4"/>
      <c r="W202" s="4"/>
      <c r="X202" s="4"/>
      <c r="Y202" s="4"/>
      <c r="Z202" s="4"/>
      <c r="AA202" t="b">
        <f>VLOOKUP(all_inputs!E202,ui!A$29:B$33,2,FALSE)</f>
        <v>0</v>
      </c>
    </row>
    <row r="203" spans="1:27" hidden="1" x14ac:dyDescent="0.25">
      <c r="A203" t="s">
        <v>19</v>
      </c>
      <c r="B203">
        <f>IF(COUNTIF(dropdown!B$2:B$12,all_inputs!A203)=1,1,IF(COUNTIF(dropdown!C$2:C$4,all_inputs!A203)=1,2,IF(COUNTIF(dropdown!D$2:D$3,all_inputs!A203)=1,3,"?")))</f>
        <v>2</v>
      </c>
      <c r="C203" t="s">
        <v>16</v>
      </c>
      <c r="D203" t="s">
        <v>467</v>
      </c>
      <c r="E203" t="s">
        <v>462</v>
      </c>
      <c r="F203">
        <f>IF(AND(all_inputs!E203=dropdown!Z$8, COUNTIF(dropdown!Z$9:Z$19,all_inputs!A203)=1), dropdown!U$12, 1)</f>
        <v>1</v>
      </c>
      <c r="G203" s="4">
        <f>ui!B$4</f>
        <v>2025</v>
      </c>
      <c r="H203" s="4">
        <f>ui!B$5</f>
        <v>2050</v>
      </c>
      <c r="I203" s="4" t="s">
        <v>93</v>
      </c>
      <c r="J203" s="4" t="str">
        <f>VLOOKUP(ui!B$2,dropdown!M:O,3,FALSE)</f>
        <v>LIC</v>
      </c>
      <c r="K203" s="4"/>
      <c r="L203" s="4"/>
      <c r="M203" s="4"/>
      <c r="N203" s="4">
        <v>1</v>
      </c>
      <c r="O203" s="4"/>
      <c r="P203" s="4"/>
      <c r="Q203" s="4"/>
      <c r="R203" s="4">
        <v>1</v>
      </c>
      <c r="S203" s="4"/>
      <c r="T203" s="4"/>
      <c r="U203" s="4"/>
      <c r="V203" s="4"/>
      <c r="W203" s="4"/>
      <c r="X203" s="4"/>
      <c r="Y203" s="4"/>
      <c r="Z203" s="4"/>
      <c r="AA203" t="b">
        <f>VLOOKUP(all_inputs!E203,ui!A$29:B$33,2,FALSE)</f>
        <v>0</v>
      </c>
    </row>
    <row r="204" spans="1:27" hidden="1" x14ac:dyDescent="0.25">
      <c r="A204" t="s">
        <v>19</v>
      </c>
      <c r="B204">
        <f>IF(COUNTIF(dropdown!B$2:B$12,all_inputs!A204)=1,1,IF(COUNTIF(dropdown!C$2:C$4,all_inputs!A204)=1,2,IF(COUNTIF(dropdown!D$2:D$3,all_inputs!A204)=1,3,"?")))</f>
        <v>2</v>
      </c>
      <c r="C204" t="s">
        <v>17</v>
      </c>
      <c r="D204" t="s">
        <v>468</v>
      </c>
      <c r="E204" t="s">
        <v>462</v>
      </c>
      <c r="F204">
        <f>IF(AND(all_inputs!E204=dropdown!Z$8, COUNTIF(dropdown!Z$9:Z$19,all_inputs!A204)=1), dropdown!U$13, 1)</f>
        <v>1</v>
      </c>
      <c r="G204" s="4">
        <f>ui!B$4</f>
        <v>2025</v>
      </c>
      <c r="H204" s="4">
        <f>ui!B$5</f>
        <v>2050</v>
      </c>
      <c r="I204" s="4" t="s">
        <v>93</v>
      </c>
      <c r="J204" s="4" t="str">
        <f>VLOOKUP(ui!B$2,dropdown!M:O,3,FALSE)</f>
        <v>LIC</v>
      </c>
      <c r="K204" s="4"/>
      <c r="L204" s="4"/>
      <c r="M204" s="4"/>
      <c r="N204" s="4">
        <v>1</v>
      </c>
      <c r="O204" s="4"/>
      <c r="P204" s="4"/>
      <c r="Q204" s="4"/>
      <c r="R204" s="4">
        <v>1</v>
      </c>
      <c r="S204" s="4"/>
      <c r="T204" s="4"/>
      <c r="U204" s="4"/>
      <c r="V204" s="4"/>
      <c r="W204" s="4"/>
      <c r="X204" s="4"/>
      <c r="Y204" s="4"/>
      <c r="Z204" s="4"/>
      <c r="AA204" t="b">
        <f>VLOOKUP(all_inputs!E204,ui!A$29:B$33,2,FALSE)</f>
        <v>0</v>
      </c>
    </row>
    <row r="205" spans="1:27" hidden="1" x14ac:dyDescent="0.25">
      <c r="A205" s="2" t="s">
        <v>19</v>
      </c>
      <c r="B205" s="2">
        <f>IF(COUNTIF(dropdown!B$2:B$12,all_inputs!A205)=1,1,IF(COUNTIF(dropdown!C$2:C$4,all_inputs!A205)=1,2,IF(COUNTIF(dropdown!D$2:D$3,all_inputs!A205)=1,3,"?")))</f>
        <v>2</v>
      </c>
      <c r="C205" s="2" t="s">
        <v>18</v>
      </c>
      <c r="D205" s="2" t="s">
        <v>469</v>
      </c>
      <c r="E205" s="2" t="s">
        <v>462</v>
      </c>
      <c r="F205" s="2">
        <f>IF(AND(all_inputs!E205=dropdown!Z$8, COUNTIF(dropdown!Z$9:Z$19,all_inputs!A205)=1), dropdown!U$14, 1)</f>
        <v>1</v>
      </c>
      <c r="G205" s="5">
        <f>ui!B$4</f>
        <v>2025</v>
      </c>
      <c r="H205" s="5">
        <f>ui!B$5</f>
        <v>2050</v>
      </c>
      <c r="I205" s="5" t="s">
        <v>93</v>
      </c>
      <c r="J205" s="5" t="str">
        <f>VLOOKUP(ui!B$2,dropdown!M:O,3,FALSE)</f>
        <v>LIC</v>
      </c>
      <c r="K205" s="5"/>
      <c r="L205" s="5"/>
      <c r="M205" s="5"/>
      <c r="N205" s="5">
        <v>1</v>
      </c>
      <c r="O205" s="5"/>
      <c r="P205" s="5"/>
      <c r="Q205" s="5"/>
      <c r="R205" s="5">
        <v>1</v>
      </c>
      <c r="S205" s="5"/>
      <c r="T205" s="5"/>
      <c r="U205" s="5"/>
      <c r="V205" s="5"/>
      <c r="W205" s="5"/>
      <c r="X205" s="5"/>
      <c r="Y205" s="5"/>
      <c r="Z205" s="5"/>
      <c r="AA205" s="2" t="b">
        <f>VLOOKUP(all_inputs!E205,ui!A$29:B$33,2,FALSE)</f>
        <v>0</v>
      </c>
    </row>
    <row r="206" spans="1:27" hidden="1" x14ac:dyDescent="0.25">
      <c r="A206" t="s">
        <v>20</v>
      </c>
      <c r="B206">
        <f>IF(COUNTIF(dropdown!B$2:B$12,all_inputs!A206)=1,1,IF(COUNTIF(dropdown!C$2:C$4,all_inputs!A206)=1,2,IF(COUNTIF(dropdown!D$2:D$3,all_inputs!A206)=1,3,"?")))</f>
        <v>3</v>
      </c>
      <c r="C206" t="s">
        <v>13</v>
      </c>
      <c r="D206" t="s">
        <v>472</v>
      </c>
      <c r="E206" t="s">
        <v>462</v>
      </c>
      <c r="F206">
        <f>IF(AND(all_inputs!E206=dropdown!Z$8, COUNTIF(dropdown!Z$9:Z$19,all_inputs!A206)=1), dropdown!U$9, 1)</f>
        <v>1</v>
      </c>
      <c r="G206" s="4">
        <f>ui!B$4</f>
        <v>2025</v>
      </c>
      <c r="H206" s="4">
        <f>ui!B$5</f>
        <v>2050</v>
      </c>
      <c r="I206" s="4" t="s">
        <v>93</v>
      </c>
      <c r="J206" s="4" t="str">
        <f>VLOOKUP(ui!B$2,dropdown!M:O,3,FALSE)</f>
        <v>LIC</v>
      </c>
      <c r="K206" s="4"/>
      <c r="L206" s="4"/>
      <c r="M206" s="4"/>
      <c r="N206" s="4">
        <v>1</v>
      </c>
      <c r="O206" s="4"/>
      <c r="P206" s="4"/>
      <c r="Q206" s="4"/>
      <c r="R206" s="4">
        <v>1</v>
      </c>
      <c r="S206" s="4"/>
      <c r="T206" s="4"/>
      <c r="U206" s="4"/>
      <c r="V206" s="4"/>
      <c r="W206" s="4"/>
      <c r="X206" s="4"/>
      <c r="Y206" s="4"/>
      <c r="Z206" s="4"/>
      <c r="AA206" t="b">
        <f>VLOOKUP(all_inputs!E206,ui!A$29:B$33,2,FALSE)</f>
        <v>0</v>
      </c>
    </row>
    <row r="207" spans="1:27" hidden="1" x14ac:dyDescent="0.25">
      <c r="A207" t="s">
        <v>20</v>
      </c>
      <c r="B207">
        <f>IF(COUNTIF(dropdown!B$2:B$12,all_inputs!A207)=1,1,IF(COUNTIF(dropdown!C$2:C$4,all_inputs!A207)=1,2,IF(COUNTIF(dropdown!D$2:D$3,all_inputs!A207)=1,3,"?")))</f>
        <v>3</v>
      </c>
      <c r="C207" t="s">
        <v>14</v>
      </c>
      <c r="D207" t="s">
        <v>466</v>
      </c>
      <c r="E207" t="s">
        <v>462</v>
      </c>
      <c r="F207" s="4">
        <v>1</v>
      </c>
      <c r="G207" s="4">
        <f>ui!B$4</f>
        <v>2025</v>
      </c>
      <c r="H207" s="4">
        <f>ui!B$5</f>
        <v>2050</v>
      </c>
      <c r="I207" s="4" t="s">
        <v>93</v>
      </c>
      <c r="J207" s="4" t="str">
        <f>VLOOKUP(ui!B$2,dropdown!M:O,3,FALSE)</f>
        <v>LIC</v>
      </c>
      <c r="K207" s="4"/>
      <c r="L207" s="4"/>
      <c r="M207" s="4"/>
      <c r="N207" s="4">
        <v>1</v>
      </c>
      <c r="O207" s="4"/>
      <c r="P207" s="4"/>
      <c r="Q207" s="4"/>
      <c r="R207" s="4">
        <v>1</v>
      </c>
      <c r="S207" s="4"/>
      <c r="T207" s="4"/>
      <c r="U207" s="4"/>
      <c r="V207" s="4"/>
      <c r="W207" s="4"/>
      <c r="X207" s="4"/>
      <c r="Y207" s="4"/>
      <c r="Z207" s="4"/>
      <c r="AA207" t="b">
        <f>VLOOKUP(all_inputs!E207,ui!A$29:B$33,2,FALSE)</f>
        <v>0</v>
      </c>
    </row>
    <row r="208" spans="1:27" hidden="1" x14ac:dyDescent="0.25">
      <c r="A208" t="s">
        <v>20</v>
      </c>
      <c r="B208">
        <f>IF(COUNTIF(dropdown!B$2:B$12,all_inputs!A208)=1,1,IF(COUNTIF(dropdown!C$2:C$4,all_inputs!A208)=1,2,IF(COUNTIF(dropdown!D$2:D$3,all_inputs!A208)=1,3,"?")))</f>
        <v>3</v>
      </c>
      <c r="C208" t="s">
        <v>15</v>
      </c>
      <c r="D208" t="s">
        <v>466</v>
      </c>
      <c r="E208" t="s">
        <v>462</v>
      </c>
      <c r="F208">
        <f>IF(AND(all_inputs!E208=dropdown!Z$8, COUNTIF(dropdown!Z$9:Z$19,all_inputs!A208)=1), dropdown!U$11, 1)</f>
        <v>1</v>
      </c>
      <c r="G208" s="4">
        <f>ui!B$4</f>
        <v>2025</v>
      </c>
      <c r="H208" s="4">
        <f>ui!B$5</f>
        <v>2050</v>
      </c>
      <c r="I208" s="4" t="s">
        <v>93</v>
      </c>
      <c r="J208" s="4" t="str">
        <f>VLOOKUP(ui!B$2,dropdown!M:O,3,FALSE)</f>
        <v>LIC</v>
      </c>
      <c r="K208" s="4"/>
      <c r="L208" s="4"/>
      <c r="M208" s="4"/>
      <c r="N208" s="4">
        <v>1</v>
      </c>
      <c r="O208" s="4"/>
      <c r="P208" s="4"/>
      <c r="Q208" s="4"/>
      <c r="R208" s="4">
        <v>1</v>
      </c>
      <c r="S208" s="4"/>
      <c r="T208" s="4"/>
      <c r="U208" s="4"/>
      <c r="V208" s="4"/>
      <c r="W208" s="4"/>
      <c r="X208" s="4"/>
      <c r="Y208" s="4"/>
      <c r="Z208" s="4"/>
      <c r="AA208" t="b">
        <f>VLOOKUP(all_inputs!E208,ui!A$29:B$33,2,FALSE)</f>
        <v>0</v>
      </c>
    </row>
    <row r="209" spans="1:27" hidden="1" x14ac:dyDescent="0.25">
      <c r="A209" t="s">
        <v>20</v>
      </c>
      <c r="B209">
        <f>IF(COUNTIF(dropdown!B$2:B$12,all_inputs!A209)=1,1,IF(COUNTIF(dropdown!C$2:C$4,all_inputs!A209)=1,2,IF(COUNTIF(dropdown!D$2:D$3,all_inputs!A209)=1,3,"?")))</f>
        <v>3</v>
      </c>
      <c r="C209" t="s">
        <v>16</v>
      </c>
      <c r="D209" t="s">
        <v>467</v>
      </c>
      <c r="E209" t="s">
        <v>462</v>
      </c>
      <c r="F209">
        <f>IF(AND(all_inputs!E209=dropdown!Z$8, COUNTIF(dropdown!Z$9:Z$19,all_inputs!A209)=1), dropdown!U$12, 1)</f>
        <v>1</v>
      </c>
      <c r="G209" s="4">
        <f>ui!B$4</f>
        <v>2025</v>
      </c>
      <c r="H209" s="4">
        <f>ui!B$5</f>
        <v>2050</v>
      </c>
      <c r="I209" s="4" t="s">
        <v>93</v>
      </c>
      <c r="J209" s="4" t="str">
        <f>VLOOKUP(ui!B$2,dropdown!M:O,3,FALSE)</f>
        <v>LIC</v>
      </c>
      <c r="K209" s="4"/>
      <c r="L209" s="4"/>
      <c r="M209" s="4"/>
      <c r="N209" s="4">
        <v>1</v>
      </c>
      <c r="O209" s="4"/>
      <c r="P209" s="4"/>
      <c r="Q209" s="4"/>
      <c r="R209" s="4">
        <v>1</v>
      </c>
      <c r="S209" s="4"/>
      <c r="T209" s="4"/>
      <c r="U209" s="4"/>
      <c r="V209" s="4"/>
      <c r="W209" s="4"/>
      <c r="X209" s="4"/>
      <c r="Y209" s="4"/>
      <c r="Z209" s="4"/>
      <c r="AA209" t="b">
        <f>VLOOKUP(all_inputs!E209,ui!A$29:B$33,2,FALSE)</f>
        <v>0</v>
      </c>
    </row>
    <row r="210" spans="1:27" hidden="1" x14ac:dyDescent="0.25">
      <c r="A210" t="s">
        <v>20</v>
      </c>
      <c r="B210">
        <f>IF(COUNTIF(dropdown!B$2:B$12,all_inputs!A210)=1,1,IF(COUNTIF(dropdown!C$2:C$4,all_inputs!A210)=1,2,IF(COUNTIF(dropdown!D$2:D$3,all_inputs!A210)=1,3,"?")))</f>
        <v>3</v>
      </c>
      <c r="C210" t="s">
        <v>17</v>
      </c>
      <c r="D210" t="s">
        <v>468</v>
      </c>
      <c r="E210" t="s">
        <v>462</v>
      </c>
      <c r="F210">
        <f>IF(AND(all_inputs!E210=dropdown!Z$8, COUNTIF(dropdown!Z$9:Z$19,all_inputs!A210)=1), dropdown!U$13, 1)</f>
        <v>1</v>
      </c>
      <c r="G210" s="4">
        <f>ui!B$4</f>
        <v>2025</v>
      </c>
      <c r="H210" s="4">
        <f>ui!B$5</f>
        <v>2050</v>
      </c>
      <c r="I210" s="4" t="s">
        <v>93</v>
      </c>
      <c r="J210" s="4" t="str">
        <f>VLOOKUP(ui!B$2,dropdown!M:O,3,FALSE)</f>
        <v>LIC</v>
      </c>
      <c r="K210" s="4"/>
      <c r="L210" s="4"/>
      <c r="M210" s="4"/>
      <c r="N210" s="4">
        <v>1</v>
      </c>
      <c r="O210" s="4"/>
      <c r="P210" s="4"/>
      <c r="Q210" s="4"/>
      <c r="R210" s="4">
        <v>1</v>
      </c>
      <c r="S210" s="4"/>
      <c r="T210" s="4"/>
      <c r="U210" s="4"/>
      <c r="V210" s="4"/>
      <c r="W210" s="4"/>
      <c r="X210" s="4"/>
      <c r="Y210" s="4"/>
      <c r="Z210" s="4"/>
      <c r="AA210" t="b">
        <f>VLOOKUP(all_inputs!E210,ui!A$29:B$33,2,FALSE)</f>
        <v>0</v>
      </c>
    </row>
    <row r="211" spans="1:27" hidden="1" x14ac:dyDescent="0.25">
      <c r="A211" s="2" t="s">
        <v>20</v>
      </c>
      <c r="B211" s="2">
        <f>IF(COUNTIF(dropdown!B$2:B$12,all_inputs!A211)=1,1,IF(COUNTIF(dropdown!C$2:C$4,all_inputs!A211)=1,2,IF(COUNTIF(dropdown!D$2:D$3,all_inputs!A211)=1,3,"?")))</f>
        <v>3</v>
      </c>
      <c r="C211" s="2" t="s">
        <v>18</v>
      </c>
      <c r="D211" s="2" t="s">
        <v>469</v>
      </c>
      <c r="E211" s="2" t="s">
        <v>462</v>
      </c>
      <c r="F211" s="2">
        <f>IF(AND(all_inputs!E211=dropdown!Z$8, COUNTIF(dropdown!Z$9:Z$19,all_inputs!A211)=1), dropdown!U$14, 1)</f>
        <v>1</v>
      </c>
      <c r="G211" s="5">
        <f>ui!B$4</f>
        <v>2025</v>
      </c>
      <c r="H211" s="5">
        <f>ui!B$5</f>
        <v>2050</v>
      </c>
      <c r="I211" s="5" t="s">
        <v>93</v>
      </c>
      <c r="J211" s="5" t="str">
        <f>VLOOKUP(ui!B$2,dropdown!M:O,3,FALSE)</f>
        <v>LIC</v>
      </c>
      <c r="K211" s="5"/>
      <c r="L211" s="5"/>
      <c r="M211" s="5"/>
      <c r="N211" s="5">
        <v>1</v>
      </c>
      <c r="O211" s="5"/>
      <c r="P211" s="5"/>
      <c r="Q211" s="5"/>
      <c r="R211" s="5">
        <v>1</v>
      </c>
      <c r="S211" s="5"/>
      <c r="T211" s="5"/>
      <c r="U211" s="5"/>
      <c r="V211" s="5"/>
      <c r="W211" s="5"/>
      <c r="X211" s="5"/>
      <c r="Y211" s="5"/>
      <c r="Z211" s="5"/>
      <c r="AA211" s="2" t="b">
        <f>VLOOKUP(all_inputs!E211,ui!A$29:B$33,2,FALSE)</f>
        <v>0</v>
      </c>
    </row>
    <row r="212" spans="1:27" hidden="1" x14ac:dyDescent="0.25">
      <c r="A212" t="s">
        <v>21</v>
      </c>
      <c r="B212">
        <f>IF(COUNTIF(dropdown!B$2:B$12,all_inputs!A212)=1,1,IF(COUNTIF(dropdown!C$2:C$4,all_inputs!A212)=1,2,IF(COUNTIF(dropdown!D$2:D$3,all_inputs!A212)=1,3,"?")))</f>
        <v>3</v>
      </c>
      <c r="C212" t="s">
        <v>13</v>
      </c>
      <c r="D212" t="s">
        <v>472</v>
      </c>
      <c r="E212" t="s">
        <v>462</v>
      </c>
      <c r="F212">
        <f>IF(AND(all_inputs!E212=dropdown!Z$8, COUNTIF(dropdown!Z$9:Z$19,all_inputs!A212)=1), dropdown!U$9, 1)</f>
        <v>1</v>
      </c>
      <c r="G212" s="4">
        <f>ui!B$4</f>
        <v>2025</v>
      </c>
      <c r="H212" s="4">
        <f>ui!B$5</f>
        <v>2050</v>
      </c>
      <c r="I212" s="4" t="s">
        <v>93</v>
      </c>
      <c r="J212" s="4" t="str">
        <f>VLOOKUP(ui!B$2,dropdown!M:O,3,FALSE)</f>
        <v>LIC</v>
      </c>
      <c r="K212" s="4"/>
      <c r="L212" s="4"/>
      <c r="M212" s="4"/>
      <c r="N212" s="4">
        <v>1</v>
      </c>
      <c r="O212" s="4"/>
      <c r="P212" s="4"/>
      <c r="Q212" s="4"/>
      <c r="R212" s="4">
        <v>1</v>
      </c>
      <c r="S212" s="4"/>
      <c r="T212" s="4"/>
      <c r="U212" s="4"/>
      <c r="V212" s="4"/>
      <c r="W212" s="4"/>
      <c r="X212" s="4"/>
      <c r="Y212" s="4"/>
      <c r="Z212" s="4"/>
      <c r="AA212" t="b">
        <f>VLOOKUP(all_inputs!E212,ui!A$29:B$33,2,FALSE)</f>
        <v>0</v>
      </c>
    </row>
    <row r="213" spans="1:27" hidden="1" x14ac:dyDescent="0.25">
      <c r="A213" t="s">
        <v>21</v>
      </c>
      <c r="B213">
        <f>IF(COUNTIF(dropdown!B$2:B$12,all_inputs!A213)=1,1,IF(COUNTIF(dropdown!C$2:C$4,all_inputs!A213)=1,2,IF(COUNTIF(dropdown!D$2:D$3,all_inputs!A213)=1,3,"?")))</f>
        <v>3</v>
      </c>
      <c r="C213" t="s">
        <v>14</v>
      </c>
      <c r="D213" t="s">
        <v>466</v>
      </c>
      <c r="E213" t="s">
        <v>462</v>
      </c>
      <c r="F213" s="4">
        <v>1</v>
      </c>
      <c r="G213" s="4">
        <f>ui!B$4</f>
        <v>2025</v>
      </c>
      <c r="H213" s="4">
        <f>ui!B$5</f>
        <v>2050</v>
      </c>
      <c r="I213" s="4" t="s">
        <v>93</v>
      </c>
      <c r="J213" s="4" t="str">
        <f>VLOOKUP(ui!B$2,dropdown!M:O,3,FALSE)</f>
        <v>LIC</v>
      </c>
      <c r="K213" s="4"/>
      <c r="L213" s="4"/>
      <c r="M213" s="4"/>
      <c r="N213" s="4">
        <v>1</v>
      </c>
      <c r="O213" s="4"/>
      <c r="P213" s="4"/>
      <c r="Q213" s="4"/>
      <c r="R213" s="4">
        <v>1</v>
      </c>
      <c r="S213" s="4"/>
      <c r="T213" s="4"/>
      <c r="U213" s="4"/>
      <c r="V213" s="4"/>
      <c r="W213" s="4"/>
      <c r="X213" s="4"/>
      <c r="Y213" s="4"/>
      <c r="Z213" s="4"/>
      <c r="AA213" t="b">
        <f>VLOOKUP(all_inputs!E213,ui!A$29:B$33,2,FALSE)</f>
        <v>0</v>
      </c>
    </row>
    <row r="214" spans="1:27" hidden="1" x14ac:dyDescent="0.25">
      <c r="A214" t="s">
        <v>21</v>
      </c>
      <c r="B214">
        <f>IF(COUNTIF(dropdown!B$2:B$12,all_inputs!A214)=1,1,IF(COUNTIF(dropdown!C$2:C$4,all_inputs!A214)=1,2,IF(COUNTIF(dropdown!D$2:D$3,all_inputs!A214)=1,3,"?")))</f>
        <v>3</v>
      </c>
      <c r="C214" t="s">
        <v>15</v>
      </c>
      <c r="D214" t="s">
        <v>466</v>
      </c>
      <c r="E214" t="s">
        <v>462</v>
      </c>
      <c r="F214">
        <f>IF(AND(all_inputs!E214=dropdown!Z$8, COUNTIF(dropdown!Z$9:Z$19,all_inputs!A214)=1), dropdown!U$11, 1)</f>
        <v>1</v>
      </c>
      <c r="G214" s="4">
        <f>ui!B$4</f>
        <v>2025</v>
      </c>
      <c r="H214" s="4">
        <f>ui!B$5</f>
        <v>2050</v>
      </c>
      <c r="I214" s="4" t="s">
        <v>93</v>
      </c>
      <c r="J214" s="4" t="str">
        <f>VLOOKUP(ui!B$2,dropdown!M:O,3,FALSE)</f>
        <v>LIC</v>
      </c>
      <c r="K214" s="4"/>
      <c r="L214" s="4"/>
      <c r="M214" s="4"/>
      <c r="N214" s="4">
        <v>1</v>
      </c>
      <c r="O214" s="4"/>
      <c r="P214" s="4"/>
      <c r="Q214" s="4"/>
      <c r="R214" s="4">
        <v>1</v>
      </c>
      <c r="S214" s="4"/>
      <c r="T214" s="4"/>
      <c r="U214" s="4"/>
      <c r="V214" s="4"/>
      <c r="W214" s="4"/>
      <c r="X214" s="4"/>
      <c r="Y214" s="4"/>
      <c r="Z214" s="4"/>
      <c r="AA214" t="b">
        <f>VLOOKUP(all_inputs!E214,ui!A$29:B$33,2,FALSE)</f>
        <v>0</v>
      </c>
    </row>
    <row r="215" spans="1:27" hidden="1" x14ac:dyDescent="0.25">
      <c r="A215" t="s">
        <v>21</v>
      </c>
      <c r="B215">
        <f>IF(COUNTIF(dropdown!B$2:B$12,all_inputs!A215)=1,1,IF(COUNTIF(dropdown!C$2:C$4,all_inputs!A215)=1,2,IF(COUNTIF(dropdown!D$2:D$3,all_inputs!A215)=1,3,"?")))</f>
        <v>3</v>
      </c>
      <c r="C215" t="s">
        <v>16</v>
      </c>
      <c r="D215" t="s">
        <v>467</v>
      </c>
      <c r="E215" t="s">
        <v>462</v>
      </c>
      <c r="F215">
        <f>IF(AND(all_inputs!E215=dropdown!Z$8, COUNTIF(dropdown!Z$9:Z$19,all_inputs!A215)=1), dropdown!U$12, 1)</f>
        <v>1</v>
      </c>
      <c r="G215" s="4">
        <f>ui!B$4</f>
        <v>2025</v>
      </c>
      <c r="H215" s="4">
        <f>ui!B$5</f>
        <v>2050</v>
      </c>
      <c r="I215" s="4" t="s">
        <v>93</v>
      </c>
      <c r="J215" s="4" t="str">
        <f>VLOOKUP(ui!B$2,dropdown!M:O,3,FALSE)</f>
        <v>LIC</v>
      </c>
      <c r="K215" s="4"/>
      <c r="L215" s="4"/>
      <c r="M215" s="4"/>
      <c r="N215" s="4">
        <v>1</v>
      </c>
      <c r="O215" s="4"/>
      <c r="P215" s="4"/>
      <c r="Q215" s="4"/>
      <c r="R215" s="4">
        <v>1</v>
      </c>
      <c r="S215" s="4"/>
      <c r="T215" s="4"/>
      <c r="U215" s="4"/>
      <c r="V215" s="4"/>
      <c r="W215" s="4"/>
      <c r="X215" s="4"/>
      <c r="Y215" s="4"/>
      <c r="Z215" s="4"/>
      <c r="AA215" t="b">
        <f>VLOOKUP(all_inputs!E215,ui!A$29:B$33,2,FALSE)</f>
        <v>0</v>
      </c>
    </row>
    <row r="216" spans="1:27" hidden="1" x14ac:dyDescent="0.25">
      <c r="A216" t="s">
        <v>21</v>
      </c>
      <c r="B216">
        <f>IF(COUNTIF(dropdown!B$2:B$12,all_inputs!A216)=1,1,IF(COUNTIF(dropdown!C$2:C$4,all_inputs!A216)=1,2,IF(COUNTIF(dropdown!D$2:D$3,all_inputs!A216)=1,3,"?")))</f>
        <v>3</v>
      </c>
      <c r="C216" t="s">
        <v>17</v>
      </c>
      <c r="D216" t="s">
        <v>468</v>
      </c>
      <c r="E216" t="s">
        <v>462</v>
      </c>
      <c r="F216">
        <f>IF(AND(all_inputs!E216=dropdown!Z$8, COUNTIF(dropdown!Z$9:Z$19,all_inputs!A216)=1), dropdown!U$13, 1)</f>
        <v>1</v>
      </c>
      <c r="G216" s="4">
        <f>ui!B$4</f>
        <v>2025</v>
      </c>
      <c r="H216" s="4">
        <f>ui!B$5</f>
        <v>2050</v>
      </c>
      <c r="I216" s="4" t="s">
        <v>93</v>
      </c>
      <c r="J216" s="4" t="str">
        <f>VLOOKUP(ui!B$2,dropdown!M:O,3,FALSE)</f>
        <v>LIC</v>
      </c>
      <c r="K216" s="4"/>
      <c r="L216" s="4"/>
      <c r="M216" s="4"/>
      <c r="N216" s="4">
        <v>1</v>
      </c>
      <c r="O216" s="4"/>
      <c r="P216" s="4"/>
      <c r="Q216" s="4"/>
      <c r="R216" s="4">
        <v>1</v>
      </c>
      <c r="S216" s="4"/>
      <c r="T216" s="4"/>
      <c r="U216" s="4"/>
      <c r="V216" s="4"/>
      <c r="W216" s="4"/>
      <c r="X216" s="4"/>
      <c r="Y216" s="4"/>
      <c r="Z216" s="4"/>
      <c r="AA216" t="b">
        <f>VLOOKUP(all_inputs!E216,ui!A$29:B$33,2,FALSE)</f>
        <v>0</v>
      </c>
    </row>
    <row r="217" spans="1:27" hidden="1" x14ac:dyDescent="0.25">
      <c r="A217" s="2" t="s">
        <v>21</v>
      </c>
      <c r="B217" s="2">
        <f>IF(COUNTIF(dropdown!B$2:B$12,all_inputs!A217)=1,1,IF(COUNTIF(dropdown!C$2:C$4,all_inputs!A217)=1,2,IF(COUNTIF(dropdown!D$2:D$3,all_inputs!A217)=1,3,"?")))</f>
        <v>3</v>
      </c>
      <c r="C217" s="2" t="s">
        <v>18</v>
      </c>
      <c r="D217" s="2" t="s">
        <v>469</v>
      </c>
      <c r="E217" s="2" t="s">
        <v>462</v>
      </c>
      <c r="F217" s="2">
        <f>IF(AND(all_inputs!E217=dropdown!Z$8, COUNTIF(dropdown!Z$9:Z$19,all_inputs!A217)=1), dropdown!U$14, 1)</f>
        <v>1</v>
      </c>
      <c r="G217" s="5">
        <f>ui!B$4</f>
        <v>2025</v>
      </c>
      <c r="H217" s="5">
        <f>ui!B$5</f>
        <v>2050</v>
      </c>
      <c r="I217" s="5" t="s">
        <v>93</v>
      </c>
      <c r="J217" s="5" t="str">
        <f>VLOOKUP(ui!B$2,dropdown!M:O,3,FALSE)</f>
        <v>LIC</v>
      </c>
      <c r="K217" s="5"/>
      <c r="L217" s="5"/>
      <c r="M217" s="5"/>
      <c r="N217" s="5">
        <v>1</v>
      </c>
      <c r="O217" s="5"/>
      <c r="P217" s="5"/>
      <c r="Q217" s="5"/>
      <c r="R217" s="5">
        <v>1</v>
      </c>
      <c r="S217" s="5"/>
      <c r="T217" s="5"/>
      <c r="U217" s="5"/>
      <c r="V217" s="5"/>
      <c r="W217" s="5"/>
      <c r="X217" s="5"/>
      <c r="Y217" s="5"/>
      <c r="Z217" s="5"/>
      <c r="AA217" s="2" t="b">
        <f>VLOOKUP(all_inputs!E217,ui!A$29:B$33,2,FALSE)</f>
        <v>0</v>
      </c>
    </row>
    <row r="218" spans="1:27" hidden="1" x14ac:dyDescent="0.25">
      <c r="A218" t="s">
        <v>22</v>
      </c>
      <c r="B218">
        <f>IF(COUNTIF(dropdown!B$2:B$12,all_inputs!A218)=1,1,IF(COUNTIF(dropdown!C$2:C$4,all_inputs!A218)=1,2,IF(COUNTIF(dropdown!D$2:D$3,all_inputs!A218)=1,3,"?")))</f>
        <v>1</v>
      </c>
      <c r="C218" t="s">
        <v>13</v>
      </c>
      <c r="D218" t="s">
        <v>472</v>
      </c>
      <c r="E218" t="s">
        <v>462</v>
      </c>
      <c r="F218" s="4">
        <v>1</v>
      </c>
      <c r="G218" s="4">
        <f>ui!B$4</f>
        <v>2025</v>
      </c>
      <c r="H218" s="4">
        <f>ui!B$5</f>
        <v>2050</v>
      </c>
      <c r="I218" s="4" t="s">
        <v>93</v>
      </c>
      <c r="J218" s="4" t="str">
        <f>VLOOKUP(ui!B$2,dropdown!M:O,3,FALSE)</f>
        <v>LIC</v>
      </c>
      <c r="K218" s="4"/>
      <c r="L218" s="4"/>
      <c r="M218" s="4"/>
      <c r="N218" s="4">
        <v>1</v>
      </c>
      <c r="O218" s="4"/>
      <c r="P218" s="4"/>
      <c r="Q218" s="4"/>
      <c r="R218" s="4">
        <v>1</v>
      </c>
      <c r="S218" s="4"/>
      <c r="T218" s="4"/>
      <c r="U218" s="4"/>
      <c r="V218" s="4"/>
      <c r="W218" s="4"/>
      <c r="X218" s="4"/>
      <c r="Y218" s="4"/>
      <c r="Z218" s="4"/>
      <c r="AA218" t="b">
        <f>VLOOKUP(all_inputs!E218,ui!A$29:B$33,2,FALSE)</f>
        <v>0</v>
      </c>
    </row>
    <row r="219" spans="1:27" hidden="1" x14ac:dyDescent="0.25">
      <c r="A219" t="s">
        <v>22</v>
      </c>
      <c r="B219">
        <f>IF(COUNTIF(dropdown!B$2:B$12,all_inputs!A219)=1,1,IF(COUNTIF(dropdown!C$2:C$4,all_inputs!A219)=1,2,IF(COUNTIF(dropdown!D$2:D$3,all_inputs!A219)=1,3,"?")))</f>
        <v>1</v>
      </c>
      <c r="C219" t="s">
        <v>14</v>
      </c>
      <c r="D219" t="s">
        <v>466</v>
      </c>
      <c r="E219" t="s">
        <v>462</v>
      </c>
      <c r="F219">
        <f>IF(AND(all_inputs!E219=dropdown!Z$8, COUNTIF(dropdown!Z$9:Z$19,all_inputs!A219)=1), dropdown!U$10, 1)</f>
        <v>1</v>
      </c>
      <c r="G219" s="4">
        <f>ui!B$4</f>
        <v>2025</v>
      </c>
      <c r="H219" s="4">
        <f>ui!B$5</f>
        <v>2050</v>
      </c>
      <c r="I219" s="4" t="s">
        <v>93</v>
      </c>
      <c r="J219" s="4" t="str">
        <f>VLOOKUP(ui!B$2,dropdown!M:O,3,FALSE)</f>
        <v>LIC</v>
      </c>
      <c r="K219" s="4"/>
      <c r="L219" s="4"/>
      <c r="M219" s="4"/>
      <c r="N219" s="4">
        <v>1</v>
      </c>
      <c r="O219" s="4"/>
      <c r="P219" s="4"/>
      <c r="Q219" s="4"/>
      <c r="R219" s="4">
        <v>1</v>
      </c>
      <c r="S219" s="4"/>
      <c r="T219" s="4"/>
      <c r="U219" s="4"/>
      <c r="V219" s="4"/>
      <c r="W219" s="4"/>
      <c r="X219" s="4"/>
      <c r="Y219" s="4"/>
      <c r="Z219" s="4"/>
      <c r="AA219" t="b">
        <f>VLOOKUP(all_inputs!E219,ui!A$29:B$33,2,FALSE)</f>
        <v>0</v>
      </c>
    </row>
    <row r="220" spans="1:27" hidden="1" x14ac:dyDescent="0.25">
      <c r="A220" t="s">
        <v>22</v>
      </c>
      <c r="B220">
        <f>IF(COUNTIF(dropdown!B$2:B$12,all_inputs!A220)=1,1,IF(COUNTIF(dropdown!C$2:C$4,all_inputs!A220)=1,2,IF(COUNTIF(dropdown!D$2:D$3,all_inputs!A220)=1,3,"?")))</f>
        <v>1</v>
      </c>
      <c r="C220" t="s">
        <v>15</v>
      </c>
      <c r="D220" t="s">
        <v>466</v>
      </c>
      <c r="E220" t="s">
        <v>462</v>
      </c>
      <c r="F220" s="4">
        <v>1</v>
      </c>
      <c r="G220" s="4">
        <f>ui!B$4</f>
        <v>2025</v>
      </c>
      <c r="H220" s="4">
        <f>ui!B$5</f>
        <v>2050</v>
      </c>
      <c r="I220" s="4" t="s">
        <v>93</v>
      </c>
      <c r="J220" s="4" t="str">
        <f>VLOOKUP(ui!B$2,dropdown!M:O,3,FALSE)</f>
        <v>LIC</v>
      </c>
      <c r="K220" s="4"/>
      <c r="L220" s="4"/>
      <c r="M220" s="4"/>
      <c r="N220" s="4">
        <v>1</v>
      </c>
      <c r="O220" s="4"/>
      <c r="P220" s="4"/>
      <c r="Q220" s="4"/>
      <c r="R220" s="4">
        <v>1</v>
      </c>
      <c r="S220" s="4"/>
      <c r="T220" s="4"/>
      <c r="U220" s="4"/>
      <c r="V220" s="4"/>
      <c r="W220" s="4"/>
      <c r="X220" s="4"/>
      <c r="Y220" s="4"/>
      <c r="Z220" s="4"/>
      <c r="AA220" t="b">
        <f>VLOOKUP(all_inputs!E220,ui!A$29:B$33,2,FALSE)</f>
        <v>0</v>
      </c>
    </row>
    <row r="221" spans="1:27" hidden="1" x14ac:dyDescent="0.25">
      <c r="A221" t="s">
        <v>22</v>
      </c>
      <c r="B221">
        <f>IF(COUNTIF(dropdown!B$2:B$12,all_inputs!A221)=1,1,IF(COUNTIF(dropdown!C$2:C$4,all_inputs!A221)=1,2,IF(COUNTIF(dropdown!D$2:D$3,all_inputs!A221)=1,3,"?")))</f>
        <v>1</v>
      </c>
      <c r="C221" t="s">
        <v>16</v>
      </c>
      <c r="D221" t="s">
        <v>467</v>
      </c>
      <c r="E221" t="s">
        <v>462</v>
      </c>
      <c r="F221" s="4">
        <f>IF(AND(all_inputs!E221=dropdown!Z$8, COUNTIF(dropdown!Z$9:Z$19,all_inputs!A221)=1), dropdown!U$12, 1)</f>
        <v>1</v>
      </c>
      <c r="G221" s="4">
        <f>ui!B$4</f>
        <v>2025</v>
      </c>
      <c r="H221" s="4">
        <f>ui!B$5</f>
        <v>2050</v>
      </c>
      <c r="I221" s="4" t="s">
        <v>93</v>
      </c>
      <c r="J221" s="4" t="str">
        <f>VLOOKUP(ui!B$2,dropdown!M:O,3,FALSE)</f>
        <v>LIC</v>
      </c>
      <c r="K221" s="4"/>
      <c r="L221" s="4"/>
      <c r="M221" s="4"/>
      <c r="N221" s="4">
        <v>1</v>
      </c>
      <c r="O221" s="4"/>
      <c r="P221" s="4"/>
      <c r="Q221" s="4"/>
      <c r="R221" s="4">
        <v>1</v>
      </c>
      <c r="S221" s="4"/>
      <c r="T221" s="4"/>
      <c r="U221" s="4"/>
      <c r="V221" s="4"/>
      <c r="W221" s="4"/>
      <c r="X221" s="4"/>
      <c r="Y221" s="4"/>
      <c r="Z221" s="4"/>
      <c r="AA221" t="b">
        <f>VLOOKUP(all_inputs!E221,ui!A$29:B$33,2,FALSE)</f>
        <v>0</v>
      </c>
    </row>
    <row r="222" spans="1:27" hidden="1" x14ac:dyDescent="0.25">
      <c r="A222" t="s">
        <v>22</v>
      </c>
      <c r="B222">
        <f>IF(COUNTIF(dropdown!B$2:B$12,all_inputs!A222)=1,1,IF(COUNTIF(dropdown!C$2:C$4,all_inputs!A222)=1,2,IF(COUNTIF(dropdown!D$2:D$3,all_inputs!A222)=1,3,"?")))</f>
        <v>1</v>
      </c>
      <c r="C222" t="s">
        <v>17</v>
      </c>
      <c r="D222" t="s">
        <v>468</v>
      </c>
      <c r="E222" t="s">
        <v>462</v>
      </c>
      <c r="F222" s="4">
        <f>IF(AND(all_inputs!E222=dropdown!Z$8, COUNTIF(dropdown!Z$9:Z$19,all_inputs!A222)=1), dropdown!U$13, 1)</f>
        <v>1</v>
      </c>
      <c r="G222" s="4">
        <f>ui!B$4</f>
        <v>2025</v>
      </c>
      <c r="H222" s="4">
        <f>ui!B$5</f>
        <v>2050</v>
      </c>
      <c r="I222" s="4" t="s">
        <v>93</v>
      </c>
      <c r="J222" s="4" t="str">
        <f>VLOOKUP(ui!B$2,dropdown!M:O,3,FALSE)</f>
        <v>LIC</v>
      </c>
      <c r="K222" s="4"/>
      <c r="L222" s="4"/>
      <c r="M222" s="4"/>
      <c r="N222" s="4">
        <v>1</v>
      </c>
      <c r="O222" s="4"/>
      <c r="P222" s="4"/>
      <c r="Q222" s="4"/>
      <c r="R222" s="4">
        <v>1</v>
      </c>
      <c r="S222" s="4"/>
      <c r="T222" s="4"/>
      <c r="U222" s="4"/>
      <c r="V222" s="4"/>
      <c r="W222" s="4"/>
      <c r="X222" s="4"/>
      <c r="Y222" s="4"/>
      <c r="Z222" s="4"/>
      <c r="AA222" t="b">
        <f>VLOOKUP(all_inputs!E222,ui!A$29:B$33,2,FALSE)</f>
        <v>0</v>
      </c>
    </row>
    <row r="223" spans="1:27" hidden="1" x14ac:dyDescent="0.25">
      <c r="A223" s="2" t="s">
        <v>22</v>
      </c>
      <c r="B223" s="2">
        <f>IF(COUNTIF(dropdown!B$2:B$12,all_inputs!A223)=1,1,IF(COUNTIF(dropdown!C$2:C$4,all_inputs!A223)=1,2,IF(COUNTIF(dropdown!D$2:D$3,all_inputs!A223)=1,3,"?")))</f>
        <v>1</v>
      </c>
      <c r="C223" s="2" t="s">
        <v>18</v>
      </c>
      <c r="D223" s="2" t="s">
        <v>469</v>
      </c>
      <c r="E223" s="2" t="s">
        <v>462</v>
      </c>
      <c r="F223" s="2">
        <f>IF(AND(all_inputs!E223=dropdown!Z$8, COUNTIF(dropdown!Z$9:Z$19,all_inputs!A223)=1), dropdown!U$14, 1)</f>
        <v>1</v>
      </c>
      <c r="G223" s="5">
        <f>ui!B$4</f>
        <v>2025</v>
      </c>
      <c r="H223" s="5">
        <f>ui!B$5</f>
        <v>2050</v>
      </c>
      <c r="I223" s="5" t="s">
        <v>93</v>
      </c>
      <c r="J223" s="5" t="str">
        <f>VLOOKUP(ui!B$2,dropdown!M:O,3,FALSE)</f>
        <v>LIC</v>
      </c>
      <c r="K223" s="5"/>
      <c r="L223" s="5"/>
      <c r="M223" s="5"/>
      <c r="N223" s="5">
        <v>1</v>
      </c>
      <c r="O223" s="5"/>
      <c r="P223" s="5"/>
      <c r="Q223" s="5"/>
      <c r="R223" s="5">
        <v>1</v>
      </c>
      <c r="S223" s="5"/>
      <c r="T223" s="5"/>
      <c r="U223" s="5"/>
      <c r="V223" s="5"/>
      <c r="W223" s="5"/>
      <c r="X223" s="5"/>
      <c r="Y223" s="5"/>
      <c r="Z223" s="5"/>
      <c r="AA223" s="2" t="b">
        <f>VLOOKUP(all_inputs!E223,ui!A$29:B$33,2,FALSE)</f>
        <v>0</v>
      </c>
    </row>
    <row r="224" spans="1:27" hidden="1" x14ac:dyDescent="0.25">
      <c r="A224" t="s">
        <v>23</v>
      </c>
      <c r="B224">
        <f>IF(COUNTIF(dropdown!B$2:B$12,all_inputs!A224)=1,1,IF(COUNTIF(dropdown!C$2:C$4,all_inputs!A224)=1,2,IF(COUNTIF(dropdown!D$2:D$3,all_inputs!A224)=1,3,"?")))</f>
        <v>1</v>
      </c>
      <c r="C224" t="s">
        <v>13</v>
      </c>
      <c r="D224" t="s">
        <v>472</v>
      </c>
      <c r="E224" t="s">
        <v>462</v>
      </c>
      <c r="F224" s="4">
        <v>1</v>
      </c>
      <c r="G224" s="4">
        <f>ui!B$4</f>
        <v>2025</v>
      </c>
      <c r="H224" s="4">
        <f>ui!B$5</f>
        <v>2050</v>
      </c>
      <c r="I224" s="4" t="s">
        <v>93</v>
      </c>
      <c r="J224" s="4" t="str">
        <f>VLOOKUP(ui!B$2,dropdown!M:O,3,FALSE)</f>
        <v>LIC</v>
      </c>
      <c r="K224" s="4"/>
      <c r="L224" s="4"/>
      <c r="M224" s="4"/>
      <c r="N224" s="4">
        <v>1</v>
      </c>
      <c r="O224" s="4"/>
      <c r="P224" s="4"/>
      <c r="Q224" s="4"/>
      <c r="R224" s="4">
        <v>1</v>
      </c>
      <c r="S224" s="4"/>
      <c r="T224" s="4"/>
      <c r="U224" s="4"/>
      <c r="V224" s="4"/>
      <c r="W224" s="4"/>
      <c r="X224" s="4"/>
      <c r="Y224" s="4"/>
      <c r="Z224" s="4"/>
      <c r="AA224" t="b">
        <f>VLOOKUP(all_inputs!E224,ui!A$29:B$33,2,FALSE)</f>
        <v>0</v>
      </c>
    </row>
    <row r="225" spans="1:27" hidden="1" x14ac:dyDescent="0.25">
      <c r="A225" t="s">
        <v>23</v>
      </c>
      <c r="B225">
        <f>IF(COUNTIF(dropdown!B$2:B$12,all_inputs!A225)=1,1,IF(COUNTIF(dropdown!C$2:C$4,all_inputs!A225)=1,2,IF(COUNTIF(dropdown!D$2:D$3,all_inputs!A225)=1,3,"?")))</f>
        <v>1</v>
      </c>
      <c r="C225" t="s">
        <v>14</v>
      </c>
      <c r="D225" t="s">
        <v>466</v>
      </c>
      <c r="E225" t="s">
        <v>462</v>
      </c>
      <c r="F225">
        <f>IF(AND(all_inputs!E225=dropdown!Z$8, COUNTIF(dropdown!Z$9:Z$19,all_inputs!A225)=1), dropdown!U$10, 1)</f>
        <v>1</v>
      </c>
      <c r="G225" s="4">
        <f>ui!B$4</f>
        <v>2025</v>
      </c>
      <c r="H225" s="4">
        <f>ui!B$5</f>
        <v>2050</v>
      </c>
      <c r="I225" s="4" t="s">
        <v>93</v>
      </c>
      <c r="J225" s="4" t="str">
        <f>VLOOKUP(ui!B$2,dropdown!M:O,3,FALSE)</f>
        <v>LIC</v>
      </c>
      <c r="K225" s="4"/>
      <c r="L225" s="4"/>
      <c r="M225" s="4"/>
      <c r="N225" s="4">
        <v>1</v>
      </c>
      <c r="O225" s="4"/>
      <c r="P225" s="4"/>
      <c r="Q225" s="4"/>
      <c r="R225" s="4">
        <v>1</v>
      </c>
      <c r="S225" s="4"/>
      <c r="T225" s="4"/>
      <c r="U225" s="4"/>
      <c r="V225" s="4"/>
      <c r="W225" s="4"/>
      <c r="X225" s="4"/>
      <c r="Y225" s="4"/>
      <c r="Z225" s="4"/>
      <c r="AA225" t="b">
        <f>VLOOKUP(all_inputs!E225,ui!A$29:B$33,2,FALSE)</f>
        <v>0</v>
      </c>
    </row>
    <row r="226" spans="1:27" hidden="1" x14ac:dyDescent="0.25">
      <c r="A226" t="s">
        <v>23</v>
      </c>
      <c r="B226">
        <f>IF(COUNTIF(dropdown!B$2:B$12,all_inputs!A226)=1,1,IF(COUNTIF(dropdown!C$2:C$4,all_inputs!A226)=1,2,IF(COUNTIF(dropdown!D$2:D$3,all_inputs!A226)=1,3,"?")))</f>
        <v>1</v>
      </c>
      <c r="C226" t="s">
        <v>15</v>
      </c>
      <c r="D226" t="s">
        <v>466</v>
      </c>
      <c r="E226" t="s">
        <v>462</v>
      </c>
      <c r="F226" s="4">
        <v>1</v>
      </c>
      <c r="G226" s="4">
        <f>ui!B$4</f>
        <v>2025</v>
      </c>
      <c r="H226" s="4">
        <f>ui!B$5</f>
        <v>2050</v>
      </c>
      <c r="I226" s="4" t="s">
        <v>93</v>
      </c>
      <c r="J226" s="4" t="str">
        <f>VLOOKUP(ui!B$2,dropdown!M:O,3,FALSE)</f>
        <v>LIC</v>
      </c>
      <c r="K226" s="4"/>
      <c r="L226" s="4"/>
      <c r="M226" s="4"/>
      <c r="N226" s="4">
        <v>1</v>
      </c>
      <c r="O226" s="4"/>
      <c r="P226" s="4"/>
      <c r="Q226" s="4"/>
      <c r="R226" s="4">
        <v>1</v>
      </c>
      <c r="S226" s="4"/>
      <c r="T226" s="4"/>
      <c r="U226" s="4"/>
      <c r="V226" s="4"/>
      <c r="W226" s="4"/>
      <c r="X226" s="4"/>
      <c r="Y226" s="4"/>
      <c r="Z226" s="4"/>
      <c r="AA226" t="b">
        <f>VLOOKUP(all_inputs!E226,ui!A$29:B$33,2,FALSE)</f>
        <v>0</v>
      </c>
    </row>
    <row r="227" spans="1:27" hidden="1" x14ac:dyDescent="0.25">
      <c r="A227" t="s">
        <v>23</v>
      </c>
      <c r="B227">
        <f>IF(COUNTIF(dropdown!B$2:B$12,all_inputs!A227)=1,1,IF(COUNTIF(dropdown!C$2:C$4,all_inputs!A227)=1,2,IF(COUNTIF(dropdown!D$2:D$3,all_inputs!A227)=1,3,"?")))</f>
        <v>1</v>
      </c>
      <c r="C227" t="s">
        <v>16</v>
      </c>
      <c r="D227" t="s">
        <v>467</v>
      </c>
      <c r="E227" t="s">
        <v>462</v>
      </c>
      <c r="F227">
        <f>IF(AND(all_inputs!E227=dropdown!Z$8, COUNTIF(dropdown!Z$9:Z$19,all_inputs!A227)=1), dropdown!U$12, 1)</f>
        <v>1</v>
      </c>
      <c r="G227" s="4">
        <f>ui!B$4</f>
        <v>2025</v>
      </c>
      <c r="H227" s="4">
        <f>ui!B$5</f>
        <v>2050</v>
      </c>
      <c r="I227" s="4" t="s">
        <v>93</v>
      </c>
      <c r="J227" s="4" t="str">
        <f>VLOOKUP(ui!B$2,dropdown!M:O,3,FALSE)</f>
        <v>LIC</v>
      </c>
      <c r="K227" s="4"/>
      <c r="L227" s="4"/>
      <c r="M227" s="4"/>
      <c r="N227" s="4">
        <v>1</v>
      </c>
      <c r="O227" s="4"/>
      <c r="P227" s="4"/>
      <c r="Q227" s="4"/>
      <c r="R227" s="4">
        <v>1</v>
      </c>
      <c r="S227" s="4"/>
      <c r="T227" s="4"/>
      <c r="U227" s="4"/>
      <c r="V227" s="4"/>
      <c r="W227" s="4"/>
      <c r="X227" s="4"/>
      <c r="Y227" s="4"/>
      <c r="Z227" s="4"/>
      <c r="AA227" t="b">
        <f>VLOOKUP(all_inputs!E227,ui!A$29:B$33,2,FALSE)</f>
        <v>0</v>
      </c>
    </row>
    <row r="228" spans="1:27" hidden="1" x14ac:dyDescent="0.25">
      <c r="A228" t="s">
        <v>23</v>
      </c>
      <c r="B228">
        <f>IF(COUNTIF(dropdown!B$2:B$12,all_inputs!A228)=1,1,IF(COUNTIF(dropdown!C$2:C$4,all_inputs!A228)=1,2,IF(COUNTIF(dropdown!D$2:D$3,all_inputs!A228)=1,3,"?")))</f>
        <v>1</v>
      </c>
      <c r="C228" t="s">
        <v>17</v>
      </c>
      <c r="D228" t="s">
        <v>468</v>
      </c>
      <c r="E228" t="s">
        <v>462</v>
      </c>
      <c r="F228">
        <f>IF(AND(all_inputs!E228=dropdown!Z$8, COUNTIF(dropdown!Z$9:Z$19,all_inputs!A228)=1), dropdown!U$13, 1)</f>
        <v>1</v>
      </c>
      <c r="G228" s="4">
        <f>ui!B$4</f>
        <v>2025</v>
      </c>
      <c r="H228" s="4">
        <f>ui!B$5</f>
        <v>2050</v>
      </c>
      <c r="I228" s="4" t="s">
        <v>93</v>
      </c>
      <c r="J228" s="4" t="str">
        <f>VLOOKUP(ui!B$2,dropdown!M:O,3,FALSE)</f>
        <v>LIC</v>
      </c>
      <c r="K228" s="4"/>
      <c r="L228" s="4"/>
      <c r="M228" s="4"/>
      <c r="N228" s="4">
        <v>1</v>
      </c>
      <c r="O228" s="4"/>
      <c r="P228" s="4"/>
      <c r="Q228" s="4"/>
      <c r="R228" s="4">
        <v>1</v>
      </c>
      <c r="S228" s="4"/>
      <c r="T228" s="4"/>
      <c r="U228" s="4"/>
      <c r="V228" s="4"/>
      <c r="W228" s="4"/>
      <c r="X228" s="4"/>
      <c r="Y228" s="4"/>
      <c r="Z228" s="4"/>
      <c r="AA228" t="b">
        <f>VLOOKUP(all_inputs!E228,ui!A$29:B$33,2,FALSE)</f>
        <v>0</v>
      </c>
    </row>
    <row r="229" spans="1:27" hidden="1" x14ac:dyDescent="0.25">
      <c r="A229" s="2" t="s">
        <v>23</v>
      </c>
      <c r="B229" s="2">
        <f>IF(COUNTIF(dropdown!B$2:B$12,all_inputs!A229)=1,1,IF(COUNTIF(dropdown!C$2:C$4,all_inputs!A229)=1,2,IF(COUNTIF(dropdown!D$2:D$3,all_inputs!A229)=1,3,"?")))</f>
        <v>1</v>
      </c>
      <c r="C229" s="2" t="s">
        <v>18</v>
      </c>
      <c r="D229" s="2" t="s">
        <v>469</v>
      </c>
      <c r="E229" s="2" t="s">
        <v>462</v>
      </c>
      <c r="F229" s="2">
        <f>IF(AND(all_inputs!E229=dropdown!Z$8, COUNTIF(dropdown!Z$9:Z$19,all_inputs!A229)=1), dropdown!U$14, 1)</f>
        <v>1</v>
      </c>
      <c r="G229" s="5">
        <f>ui!B$4</f>
        <v>2025</v>
      </c>
      <c r="H229" s="5">
        <f>ui!B$5</f>
        <v>2050</v>
      </c>
      <c r="I229" s="5" t="s">
        <v>93</v>
      </c>
      <c r="J229" s="5" t="str">
        <f>VLOOKUP(ui!B$2,dropdown!M:O,3,FALSE)</f>
        <v>LIC</v>
      </c>
      <c r="K229" s="5"/>
      <c r="L229" s="5"/>
      <c r="M229" s="5"/>
      <c r="N229" s="5">
        <v>1</v>
      </c>
      <c r="O229" s="5"/>
      <c r="P229" s="5"/>
      <c r="Q229" s="5"/>
      <c r="R229" s="5">
        <v>1</v>
      </c>
      <c r="S229" s="5"/>
      <c r="T229" s="5"/>
      <c r="U229" s="5"/>
      <c r="V229" s="5"/>
      <c r="W229" s="5"/>
      <c r="X229" s="5"/>
      <c r="Y229" s="5"/>
      <c r="Z229" s="5"/>
      <c r="AA229" s="2" t="b">
        <f>VLOOKUP(all_inputs!E229,ui!A$29:B$33,2,FALSE)</f>
        <v>0</v>
      </c>
    </row>
    <row r="230" spans="1:27" hidden="1" x14ac:dyDescent="0.25">
      <c r="A230" t="s">
        <v>24</v>
      </c>
      <c r="B230">
        <f>IF(COUNTIF(dropdown!B$2:B$12,all_inputs!A230)=1,1,IF(COUNTIF(dropdown!C$2:C$4,all_inputs!A230)=1,2,IF(COUNTIF(dropdown!D$2:D$3,all_inputs!A230)=1,3,"?")))</f>
        <v>1</v>
      </c>
      <c r="C230" t="s">
        <v>13</v>
      </c>
      <c r="D230" t="s">
        <v>472</v>
      </c>
      <c r="E230" t="s">
        <v>462</v>
      </c>
      <c r="F230" s="4">
        <v>1</v>
      </c>
      <c r="G230" s="4">
        <f>ui!B$4</f>
        <v>2025</v>
      </c>
      <c r="H230" s="4">
        <f>ui!B$5</f>
        <v>2050</v>
      </c>
      <c r="I230" s="4" t="s">
        <v>93</v>
      </c>
      <c r="J230" s="4" t="str">
        <f>VLOOKUP(ui!B$2,dropdown!M:O,3,FALSE)</f>
        <v>LIC</v>
      </c>
      <c r="K230" s="4"/>
      <c r="L230" s="4"/>
      <c r="M230" s="4"/>
      <c r="N230" s="4">
        <v>1</v>
      </c>
      <c r="O230" s="4"/>
      <c r="P230" s="4"/>
      <c r="Q230" s="4"/>
      <c r="R230" s="4">
        <v>1</v>
      </c>
      <c r="S230" s="4"/>
      <c r="T230" s="4"/>
      <c r="U230" s="4"/>
      <c r="V230" s="4"/>
      <c r="W230" s="4"/>
      <c r="X230" s="4"/>
      <c r="Y230" s="4"/>
      <c r="Z230" s="4"/>
      <c r="AA230" t="b">
        <f>VLOOKUP(all_inputs!E230,ui!A$29:B$33,2,FALSE)</f>
        <v>0</v>
      </c>
    </row>
    <row r="231" spans="1:27" hidden="1" x14ac:dyDescent="0.25">
      <c r="A231" t="s">
        <v>24</v>
      </c>
      <c r="B231">
        <f>IF(COUNTIF(dropdown!B$2:B$12,all_inputs!A231)=1,1,IF(COUNTIF(dropdown!C$2:C$4,all_inputs!A231)=1,2,IF(COUNTIF(dropdown!D$2:D$3,all_inputs!A231)=1,3,"?")))</f>
        <v>1</v>
      </c>
      <c r="C231" t="s">
        <v>14</v>
      </c>
      <c r="D231" t="s">
        <v>466</v>
      </c>
      <c r="E231" t="s">
        <v>462</v>
      </c>
      <c r="F231">
        <f>IF(AND(all_inputs!E231=dropdown!Z$8, COUNTIF(dropdown!Z$9:Z$19,all_inputs!A231)=1), dropdown!U$10, 1)</f>
        <v>1</v>
      </c>
      <c r="G231" s="4">
        <f>ui!B$4</f>
        <v>2025</v>
      </c>
      <c r="H231" s="4">
        <f>ui!B$5</f>
        <v>2050</v>
      </c>
      <c r="I231" s="4" t="s">
        <v>93</v>
      </c>
      <c r="J231" s="4" t="str">
        <f>VLOOKUP(ui!B$2,dropdown!M:O,3,FALSE)</f>
        <v>LIC</v>
      </c>
      <c r="K231" s="4"/>
      <c r="L231" s="4"/>
      <c r="M231" s="4"/>
      <c r="N231" s="4">
        <v>1</v>
      </c>
      <c r="O231" s="4"/>
      <c r="P231" s="4"/>
      <c r="Q231" s="4"/>
      <c r="R231" s="4">
        <v>1</v>
      </c>
      <c r="S231" s="4"/>
      <c r="T231" s="4"/>
      <c r="U231" s="4"/>
      <c r="V231" s="4"/>
      <c r="W231" s="4"/>
      <c r="X231" s="4"/>
      <c r="Y231" s="4"/>
      <c r="Z231" s="4"/>
      <c r="AA231" t="b">
        <f>VLOOKUP(all_inputs!E231,ui!A$29:B$33,2,FALSE)</f>
        <v>0</v>
      </c>
    </row>
    <row r="232" spans="1:27" hidden="1" x14ac:dyDescent="0.25">
      <c r="A232" t="s">
        <v>24</v>
      </c>
      <c r="B232">
        <f>IF(COUNTIF(dropdown!B$2:B$12,all_inputs!A232)=1,1,IF(COUNTIF(dropdown!C$2:C$4,all_inputs!A232)=1,2,IF(COUNTIF(dropdown!D$2:D$3,all_inputs!A232)=1,3,"?")))</f>
        <v>1</v>
      </c>
      <c r="C232" t="s">
        <v>15</v>
      </c>
      <c r="D232" t="s">
        <v>466</v>
      </c>
      <c r="E232" t="s">
        <v>462</v>
      </c>
      <c r="F232" s="4">
        <v>1</v>
      </c>
      <c r="G232" s="4">
        <f>ui!B$4</f>
        <v>2025</v>
      </c>
      <c r="H232" s="4">
        <f>ui!B$5</f>
        <v>2050</v>
      </c>
      <c r="I232" s="4" t="s">
        <v>93</v>
      </c>
      <c r="J232" s="4" t="str">
        <f>VLOOKUP(ui!B$2,dropdown!M:O,3,FALSE)</f>
        <v>LIC</v>
      </c>
      <c r="K232" s="4"/>
      <c r="L232" s="4"/>
      <c r="M232" s="4"/>
      <c r="N232" s="4">
        <v>1</v>
      </c>
      <c r="O232" s="4"/>
      <c r="P232" s="4"/>
      <c r="Q232" s="4"/>
      <c r="R232" s="4">
        <v>1</v>
      </c>
      <c r="S232" s="4"/>
      <c r="T232" s="4"/>
      <c r="U232" s="4"/>
      <c r="V232" s="4"/>
      <c r="W232" s="4"/>
      <c r="X232" s="4"/>
      <c r="Y232" s="4"/>
      <c r="Z232" s="4"/>
      <c r="AA232" t="b">
        <f>VLOOKUP(all_inputs!E232,ui!A$29:B$33,2,FALSE)</f>
        <v>0</v>
      </c>
    </row>
    <row r="233" spans="1:27" hidden="1" x14ac:dyDescent="0.25">
      <c r="A233" t="s">
        <v>24</v>
      </c>
      <c r="B233">
        <f>IF(COUNTIF(dropdown!B$2:B$12,all_inputs!A233)=1,1,IF(COUNTIF(dropdown!C$2:C$4,all_inputs!A233)=1,2,IF(COUNTIF(dropdown!D$2:D$3,all_inputs!A233)=1,3,"?")))</f>
        <v>1</v>
      </c>
      <c r="C233" t="s">
        <v>16</v>
      </c>
      <c r="D233" t="s">
        <v>467</v>
      </c>
      <c r="E233" t="s">
        <v>462</v>
      </c>
      <c r="F233">
        <f>IF(AND(all_inputs!E233=dropdown!Z$8, COUNTIF(dropdown!Z$9:Z$19,all_inputs!A233)=1), dropdown!U$12, 1)</f>
        <v>1</v>
      </c>
      <c r="G233" s="4">
        <f>ui!B$4</f>
        <v>2025</v>
      </c>
      <c r="H233" s="4">
        <f>ui!B$5</f>
        <v>2050</v>
      </c>
      <c r="I233" s="4" t="s">
        <v>93</v>
      </c>
      <c r="J233" s="4" t="str">
        <f>VLOOKUP(ui!B$2,dropdown!M:O,3,FALSE)</f>
        <v>LIC</v>
      </c>
      <c r="K233" s="4"/>
      <c r="L233" s="4"/>
      <c r="M233" s="4"/>
      <c r="N233" s="4">
        <v>1</v>
      </c>
      <c r="O233" s="4"/>
      <c r="P233" s="4"/>
      <c r="Q233" s="4"/>
      <c r="R233" s="4">
        <v>1</v>
      </c>
      <c r="S233" s="4"/>
      <c r="T233" s="4"/>
      <c r="U233" s="4"/>
      <c r="V233" s="4"/>
      <c r="W233" s="4"/>
      <c r="X233" s="4"/>
      <c r="Y233" s="4"/>
      <c r="Z233" s="4"/>
      <c r="AA233" t="b">
        <f>VLOOKUP(all_inputs!E233,ui!A$29:B$33,2,FALSE)</f>
        <v>0</v>
      </c>
    </row>
    <row r="234" spans="1:27" hidden="1" x14ac:dyDescent="0.25">
      <c r="A234" t="s">
        <v>24</v>
      </c>
      <c r="B234">
        <f>IF(COUNTIF(dropdown!B$2:B$12,all_inputs!A234)=1,1,IF(COUNTIF(dropdown!C$2:C$4,all_inputs!A234)=1,2,IF(COUNTIF(dropdown!D$2:D$3,all_inputs!A234)=1,3,"?")))</f>
        <v>1</v>
      </c>
      <c r="C234" t="s">
        <v>17</v>
      </c>
      <c r="D234" t="s">
        <v>468</v>
      </c>
      <c r="E234" t="s">
        <v>462</v>
      </c>
      <c r="F234">
        <f>IF(AND(all_inputs!E234=dropdown!Z$8, COUNTIF(dropdown!Z$9:Z$19,all_inputs!A234)=1), dropdown!U$13, 1)</f>
        <v>1</v>
      </c>
      <c r="G234" s="4">
        <f>ui!B$4</f>
        <v>2025</v>
      </c>
      <c r="H234" s="4">
        <f>ui!B$5</f>
        <v>2050</v>
      </c>
      <c r="I234" s="4" t="s">
        <v>93</v>
      </c>
      <c r="J234" s="4" t="str">
        <f>VLOOKUP(ui!B$2,dropdown!M:O,3,FALSE)</f>
        <v>LIC</v>
      </c>
      <c r="K234" s="4"/>
      <c r="L234" s="4"/>
      <c r="M234" s="4"/>
      <c r="N234" s="4">
        <v>1</v>
      </c>
      <c r="O234" s="4"/>
      <c r="P234" s="4"/>
      <c r="Q234" s="4"/>
      <c r="R234" s="4">
        <v>1</v>
      </c>
      <c r="S234" s="4"/>
      <c r="T234" s="4"/>
      <c r="U234" s="4"/>
      <c r="V234" s="4"/>
      <c r="W234" s="4"/>
      <c r="X234" s="4"/>
      <c r="Y234" s="4"/>
      <c r="Z234" s="4"/>
      <c r="AA234" t="b">
        <f>VLOOKUP(all_inputs!E234,ui!A$29:B$33,2,FALSE)</f>
        <v>0</v>
      </c>
    </row>
    <row r="235" spans="1:27" hidden="1" x14ac:dyDescent="0.25">
      <c r="A235" s="2" t="s">
        <v>24</v>
      </c>
      <c r="B235" s="2">
        <f>IF(COUNTIF(dropdown!B$2:B$12,all_inputs!A235)=1,1,IF(COUNTIF(dropdown!C$2:C$4,all_inputs!A235)=1,2,IF(COUNTIF(dropdown!D$2:D$3,all_inputs!A235)=1,3,"?")))</f>
        <v>1</v>
      </c>
      <c r="C235" s="2" t="s">
        <v>18</v>
      </c>
      <c r="D235" s="2" t="s">
        <v>469</v>
      </c>
      <c r="E235" s="2" t="s">
        <v>462</v>
      </c>
      <c r="F235" s="2">
        <f>IF(AND(all_inputs!E235=dropdown!Z$8, COUNTIF(dropdown!Z$9:Z$19,all_inputs!A235)=1), dropdown!U$14, 1)</f>
        <v>1</v>
      </c>
      <c r="G235" s="5">
        <f>ui!B$4</f>
        <v>2025</v>
      </c>
      <c r="H235" s="5">
        <f>ui!B$5</f>
        <v>2050</v>
      </c>
      <c r="I235" s="5" t="s">
        <v>93</v>
      </c>
      <c r="J235" s="5" t="str">
        <f>VLOOKUP(ui!B$2,dropdown!M:O,3,FALSE)</f>
        <v>LIC</v>
      </c>
      <c r="K235" s="5"/>
      <c r="L235" s="5"/>
      <c r="M235" s="5"/>
      <c r="N235" s="5">
        <v>1</v>
      </c>
      <c r="O235" s="5"/>
      <c r="P235" s="5"/>
      <c r="Q235" s="5"/>
      <c r="R235" s="5">
        <v>1</v>
      </c>
      <c r="S235" s="5"/>
      <c r="T235" s="5"/>
      <c r="U235" s="5"/>
      <c r="V235" s="5"/>
      <c r="W235" s="5"/>
      <c r="X235" s="5"/>
      <c r="Y235" s="5"/>
      <c r="Z235" s="5"/>
      <c r="AA235" s="2" t="b">
        <f>VLOOKUP(all_inputs!E235,ui!A$29:B$33,2,FALSE)</f>
        <v>0</v>
      </c>
    </row>
    <row r="236" spans="1:27" hidden="1" x14ac:dyDescent="0.25">
      <c r="A236" t="s">
        <v>25</v>
      </c>
      <c r="B236">
        <f>IF(COUNTIF(dropdown!B$2:B$12,all_inputs!A236)=1,1,IF(COUNTIF(dropdown!C$2:C$4,all_inputs!A236)=1,2,IF(COUNTIF(dropdown!D$2:D$3,all_inputs!A236)=1,3,"?")))</f>
        <v>1</v>
      </c>
      <c r="C236" t="s">
        <v>13</v>
      </c>
      <c r="D236" t="s">
        <v>472</v>
      </c>
      <c r="E236" t="s">
        <v>462</v>
      </c>
      <c r="F236" s="4">
        <v>1</v>
      </c>
      <c r="G236" s="4">
        <f>ui!B$4</f>
        <v>2025</v>
      </c>
      <c r="H236" s="4">
        <f>ui!B$5</f>
        <v>2050</v>
      </c>
      <c r="I236" s="4" t="s">
        <v>93</v>
      </c>
      <c r="J236" s="4" t="str">
        <f>VLOOKUP(ui!B$2,dropdown!M:O,3,FALSE)</f>
        <v>LIC</v>
      </c>
      <c r="K236" s="4"/>
      <c r="L236" s="4"/>
      <c r="M236" s="4"/>
      <c r="N236" s="4">
        <v>1</v>
      </c>
      <c r="O236" s="4"/>
      <c r="P236" s="4"/>
      <c r="Q236" s="4"/>
      <c r="R236" s="4">
        <v>1</v>
      </c>
      <c r="S236" s="4"/>
      <c r="T236" s="4"/>
      <c r="U236" s="4"/>
      <c r="V236" s="4"/>
      <c r="W236" s="4"/>
      <c r="X236" s="4"/>
      <c r="Y236" s="4"/>
      <c r="Z236" s="4"/>
      <c r="AA236" t="b">
        <f>VLOOKUP(all_inputs!E236,ui!A$29:B$33,2,FALSE)</f>
        <v>0</v>
      </c>
    </row>
    <row r="237" spans="1:27" hidden="1" x14ac:dyDescent="0.25">
      <c r="A237" t="s">
        <v>25</v>
      </c>
      <c r="B237">
        <f>IF(COUNTIF(dropdown!B$2:B$12,all_inputs!A237)=1,1,IF(COUNTIF(dropdown!C$2:C$4,all_inputs!A237)=1,2,IF(COUNTIF(dropdown!D$2:D$3,all_inputs!A237)=1,3,"?")))</f>
        <v>1</v>
      </c>
      <c r="C237" t="s">
        <v>14</v>
      </c>
      <c r="D237" t="s">
        <v>466</v>
      </c>
      <c r="E237" t="s">
        <v>462</v>
      </c>
      <c r="F237">
        <f>IF(AND(all_inputs!E237=dropdown!Z$8, COUNTIF(dropdown!Z$9:Z$19,all_inputs!A237)=1), dropdown!U$10, 1)</f>
        <v>1</v>
      </c>
      <c r="G237" s="4">
        <f>ui!B$4</f>
        <v>2025</v>
      </c>
      <c r="H237" s="4">
        <f>ui!B$5</f>
        <v>2050</v>
      </c>
      <c r="I237" s="4" t="s">
        <v>93</v>
      </c>
      <c r="J237" s="4" t="str">
        <f>VLOOKUP(ui!B$2,dropdown!M:O,3,FALSE)</f>
        <v>LIC</v>
      </c>
      <c r="K237" s="4"/>
      <c r="L237" s="4"/>
      <c r="M237" s="4"/>
      <c r="N237" s="4">
        <v>1</v>
      </c>
      <c r="O237" s="4"/>
      <c r="P237" s="4"/>
      <c r="Q237" s="4"/>
      <c r="R237" s="4">
        <v>1</v>
      </c>
      <c r="S237" s="4"/>
      <c r="T237" s="4"/>
      <c r="U237" s="4"/>
      <c r="V237" s="4"/>
      <c r="W237" s="4"/>
      <c r="X237" s="4"/>
      <c r="Y237" s="4"/>
      <c r="Z237" s="4"/>
      <c r="AA237" t="b">
        <f>VLOOKUP(all_inputs!E237,ui!A$29:B$33,2,FALSE)</f>
        <v>0</v>
      </c>
    </row>
    <row r="238" spans="1:27" hidden="1" x14ac:dyDescent="0.25">
      <c r="A238" t="s">
        <v>25</v>
      </c>
      <c r="B238">
        <f>IF(COUNTIF(dropdown!B$2:B$12,all_inputs!A238)=1,1,IF(COUNTIF(dropdown!C$2:C$4,all_inputs!A238)=1,2,IF(COUNTIF(dropdown!D$2:D$3,all_inputs!A238)=1,3,"?")))</f>
        <v>1</v>
      </c>
      <c r="C238" t="s">
        <v>15</v>
      </c>
      <c r="D238" t="s">
        <v>466</v>
      </c>
      <c r="E238" t="s">
        <v>462</v>
      </c>
      <c r="F238" s="4">
        <v>1</v>
      </c>
      <c r="G238" s="4">
        <f>ui!B$4</f>
        <v>2025</v>
      </c>
      <c r="H238" s="4">
        <f>ui!B$5</f>
        <v>2050</v>
      </c>
      <c r="I238" s="4" t="s">
        <v>93</v>
      </c>
      <c r="J238" s="4" t="str">
        <f>VLOOKUP(ui!B$2,dropdown!M:O,3,FALSE)</f>
        <v>LIC</v>
      </c>
      <c r="K238" s="4"/>
      <c r="L238" s="4"/>
      <c r="M238" s="4"/>
      <c r="N238" s="4">
        <v>1</v>
      </c>
      <c r="O238" s="4"/>
      <c r="P238" s="4"/>
      <c r="Q238" s="4"/>
      <c r="R238" s="4">
        <v>1</v>
      </c>
      <c r="S238" s="4"/>
      <c r="T238" s="4"/>
      <c r="U238" s="4"/>
      <c r="V238" s="4"/>
      <c r="W238" s="4"/>
      <c r="X238" s="4"/>
      <c r="Y238" s="4"/>
      <c r="Z238" s="4"/>
      <c r="AA238" t="b">
        <f>VLOOKUP(all_inputs!E238,ui!A$29:B$33,2,FALSE)</f>
        <v>0</v>
      </c>
    </row>
    <row r="239" spans="1:27" hidden="1" x14ac:dyDescent="0.25">
      <c r="A239" t="s">
        <v>25</v>
      </c>
      <c r="B239">
        <f>IF(COUNTIF(dropdown!B$2:B$12,all_inputs!A239)=1,1,IF(COUNTIF(dropdown!C$2:C$4,all_inputs!A239)=1,2,IF(COUNTIF(dropdown!D$2:D$3,all_inputs!A239)=1,3,"?")))</f>
        <v>1</v>
      </c>
      <c r="C239" t="s">
        <v>16</v>
      </c>
      <c r="D239" t="s">
        <v>467</v>
      </c>
      <c r="E239" t="s">
        <v>462</v>
      </c>
      <c r="F239">
        <f>IF(AND(all_inputs!E239=dropdown!Z$8, COUNTIF(dropdown!Z$9:Z$19,all_inputs!A239)=1), dropdown!U$12, 1)</f>
        <v>1</v>
      </c>
      <c r="G239" s="4">
        <f>ui!B$4</f>
        <v>2025</v>
      </c>
      <c r="H239" s="4">
        <f>ui!B$5</f>
        <v>2050</v>
      </c>
      <c r="I239" s="4" t="s">
        <v>93</v>
      </c>
      <c r="J239" s="4" t="str">
        <f>VLOOKUP(ui!B$2,dropdown!M:O,3,FALSE)</f>
        <v>LIC</v>
      </c>
      <c r="K239" s="4"/>
      <c r="L239" s="4"/>
      <c r="M239" s="4"/>
      <c r="N239" s="4">
        <v>1</v>
      </c>
      <c r="O239" s="4"/>
      <c r="P239" s="4"/>
      <c r="Q239" s="4"/>
      <c r="R239" s="4">
        <v>1</v>
      </c>
      <c r="S239" s="4"/>
      <c r="T239" s="4"/>
      <c r="U239" s="4"/>
      <c r="V239" s="4"/>
      <c r="W239" s="4"/>
      <c r="X239" s="4"/>
      <c r="Y239" s="4"/>
      <c r="Z239" s="4"/>
      <c r="AA239" t="b">
        <f>VLOOKUP(all_inputs!E239,ui!A$29:B$33,2,FALSE)</f>
        <v>0</v>
      </c>
    </row>
    <row r="240" spans="1:27" hidden="1" x14ac:dyDescent="0.25">
      <c r="A240" t="s">
        <v>25</v>
      </c>
      <c r="B240">
        <f>IF(COUNTIF(dropdown!B$2:B$12,all_inputs!A240)=1,1,IF(COUNTIF(dropdown!C$2:C$4,all_inputs!A240)=1,2,IF(COUNTIF(dropdown!D$2:D$3,all_inputs!A240)=1,3,"?")))</f>
        <v>1</v>
      </c>
      <c r="C240" t="s">
        <v>17</v>
      </c>
      <c r="D240" t="s">
        <v>468</v>
      </c>
      <c r="E240" t="s">
        <v>462</v>
      </c>
      <c r="F240">
        <f>IF(AND(all_inputs!E240=dropdown!Z$8, COUNTIF(dropdown!Z$9:Z$19,all_inputs!A240)=1), dropdown!U$13, 1)</f>
        <v>1</v>
      </c>
      <c r="G240" s="4">
        <f>ui!B$4</f>
        <v>2025</v>
      </c>
      <c r="H240" s="4">
        <f>ui!B$5</f>
        <v>2050</v>
      </c>
      <c r="I240" s="4" t="s">
        <v>93</v>
      </c>
      <c r="J240" s="4" t="str">
        <f>VLOOKUP(ui!B$2,dropdown!M:O,3,FALSE)</f>
        <v>LIC</v>
      </c>
      <c r="K240" s="4"/>
      <c r="L240" s="4"/>
      <c r="M240" s="4"/>
      <c r="N240" s="4">
        <v>1</v>
      </c>
      <c r="O240" s="4"/>
      <c r="P240" s="4"/>
      <c r="Q240" s="4"/>
      <c r="R240" s="4">
        <v>1</v>
      </c>
      <c r="S240" s="4"/>
      <c r="T240" s="4"/>
      <c r="U240" s="4"/>
      <c r="V240" s="4"/>
      <c r="W240" s="4"/>
      <c r="X240" s="4"/>
      <c r="Y240" s="4"/>
      <c r="Z240" s="4"/>
      <c r="AA240" t="b">
        <f>VLOOKUP(all_inputs!E240,ui!A$29:B$33,2,FALSE)</f>
        <v>0</v>
      </c>
    </row>
    <row r="241" spans="1:27" hidden="1" x14ac:dyDescent="0.25">
      <c r="A241" s="2" t="s">
        <v>25</v>
      </c>
      <c r="B241" s="2">
        <f>IF(COUNTIF(dropdown!B$2:B$12,all_inputs!A241)=1,1,IF(COUNTIF(dropdown!C$2:C$4,all_inputs!A241)=1,2,IF(COUNTIF(dropdown!D$2:D$3,all_inputs!A241)=1,3,"?")))</f>
        <v>1</v>
      </c>
      <c r="C241" s="2" t="s">
        <v>18</v>
      </c>
      <c r="D241" s="2" t="s">
        <v>469</v>
      </c>
      <c r="E241" s="2" t="s">
        <v>462</v>
      </c>
      <c r="F241" s="2">
        <f>IF(AND(all_inputs!E241=dropdown!Z$8, COUNTIF(dropdown!Z$9:Z$19,all_inputs!A241)=1), dropdown!U$14, 1)</f>
        <v>1</v>
      </c>
      <c r="G241" s="5">
        <f>ui!B$4</f>
        <v>2025</v>
      </c>
      <c r="H241" s="5">
        <f>ui!B$5</f>
        <v>2050</v>
      </c>
      <c r="I241" s="5" t="s">
        <v>93</v>
      </c>
      <c r="J241" s="5" t="str">
        <f>VLOOKUP(ui!B$2,dropdown!M:O,3,FALSE)</f>
        <v>LIC</v>
      </c>
      <c r="K241" s="5"/>
      <c r="L241" s="5"/>
      <c r="M241" s="5"/>
      <c r="N241" s="5">
        <v>1</v>
      </c>
      <c r="O241" s="5"/>
      <c r="P241" s="5"/>
      <c r="Q241" s="5"/>
      <c r="R241" s="5">
        <v>1</v>
      </c>
      <c r="S241" s="5"/>
      <c r="T241" s="5"/>
      <c r="U241" s="5"/>
      <c r="V241" s="5"/>
      <c r="W241" s="5"/>
      <c r="X241" s="5"/>
      <c r="Y241" s="5"/>
      <c r="Z241" s="5"/>
      <c r="AA241" s="2" t="b">
        <f>VLOOKUP(all_inputs!E241,ui!A$29:B$33,2,FALSE)</f>
        <v>0</v>
      </c>
    </row>
    <row r="242" spans="1:27" hidden="1" x14ac:dyDescent="0.25">
      <c r="A242" t="s">
        <v>26</v>
      </c>
      <c r="B242">
        <f>IF(COUNTIF(dropdown!B$2:B$12,all_inputs!A242)=1,1,IF(COUNTIF(dropdown!C$2:C$4,all_inputs!A242)=1,2,IF(COUNTIF(dropdown!D$2:D$3,all_inputs!A242)=1,3,"?")))</f>
        <v>1</v>
      </c>
      <c r="C242" t="s">
        <v>13</v>
      </c>
      <c r="D242" t="s">
        <v>472</v>
      </c>
      <c r="E242" t="s">
        <v>462</v>
      </c>
      <c r="F242" s="4">
        <v>1</v>
      </c>
      <c r="G242" s="4">
        <f>ui!B$4</f>
        <v>2025</v>
      </c>
      <c r="H242" s="4">
        <f>ui!B$5</f>
        <v>2050</v>
      </c>
      <c r="I242" s="4" t="s">
        <v>93</v>
      </c>
      <c r="J242" s="4" t="str">
        <f>VLOOKUP(ui!B$2,dropdown!M:O,3,FALSE)</f>
        <v>LIC</v>
      </c>
      <c r="K242" s="4"/>
      <c r="L242" s="4"/>
      <c r="M242" s="4"/>
      <c r="N242" s="4">
        <v>1</v>
      </c>
      <c r="O242" s="4"/>
      <c r="P242" s="4"/>
      <c r="Q242" s="4"/>
      <c r="R242" s="4">
        <v>1</v>
      </c>
      <c r="S242" s="4"/>
      <c r="T242" s="4"/>
      <c r="U242" s="4"/>
      <c r="V242" s="4"/>
      <c r="W242" s="4"/>
      <c r="X242" s="4"/>
      <c r="Y242" s="4"/>
      <c r="Z242" s="4"/>
      <c r="AA242" t="b">
        <f>VLOOKUP(all_inputs!E242,ui!A$29:B$33,2,FALSE)</f>
        <v>0</v>
      </c>
    </row>
    <row r="243" spans="1:27" hidden="1" x14ac:dyDescent="0.25">
      <c r="A243" t="s">
        <v>26</v>
      </c>
      <c r="B243">
        <f>IF(COUNTIF(dropdown!B$2:B$12,all_inputs!A243)=1,1,IF(COUNTIF(dropdown!C$2:C$4,all_inputs!A243)=1,2,IF(COUNTIF(dropdown!D$2:D$3,all_inputs!A243)=1,3,"?")))</f>
        <v>1</v>
      </c>
      <c r="C243" t="s">
        <v>14</v>
      </c>
      <c r="D243" t="s">
        <v>466</v>
      </c>
      <c r="E243" t="s">
        <v>462</v>
      </c>
      <c r="F243">
        <f>IF(AND(all_inputs!E243=dropdown!Z$8, COUNTIF(dropdown!Z$9:Z$19,all_inputs!A243)=1), dropdown!U$10, 1)</f>
        <v>1</v>
      </c>
      <c r="G243" s="4">
        <f>ui!B$4</f>
        <v>2025</v>
      </c>
      <c r="H243" s="4">
        <f>ui!B$5</f>
        <v>2050</v>
      </c>
      <c r="I243" s="4" t="s">
        <v>93</v>
      </c>
      <c r="J243" s="4" t="str">
        <f>VLOOKUP(ui!B$2,dropdown!M:O,3,FALSE)</f>
        <v>LIC</v>
      </c>
      <c r="K243" s="4"/>
      <c r="L243" s="4"/>
      <c r="M243" s="4"/>
      <c r="N243" s="4">
        <v>1</v>
      </c>
      <c r="O243" s="4"/>
      <c r="P243" s="4"/>
      <c r="Q243" s="4"/>
      <c r="R243" s="4">
        <v>1</v>
      </c>
      <c r="S243" s="4"/>
      <c r="T243" s="4"/>
      <c r="U243" s="4"/>
      <c r="V243" s="4"/>
      <c r="W243" s="4"/>
      <c r="X243" s="4"/>
      <c r="Y243" s="4"/>
      <c r="Z243" s="4"/>
      <c r="AA243" t="b">
        <f>VLOOKUP(all_inputs!E243,ui!A$29:B$33,2,FALSE)</f>
        <v>0</v>
      </c>
    </row>
    <row r="244" spans="1:27" hidden="1" x14ac:dyDescent="0.25">
      <c r="A244" t="s">
        <v>26</v>
      </c>
      <c r="B244">
        <f>IF(COUNTIF(dropdown!B$2:B$12,all_inputs!A244)=1,1,IF(COUNTIF(dropdown!C$2:C$4,all_inputs!A244)=1,2,IF(COUNTIF(dropdown!D$2:D$3,all_inputs!A244)=1,3,"?")))</f>
        <v>1</v>
      </c>
      <c r="C244" t="s">
        <v>15</v>
      </c>
      <c r="D244" t="s">
        <v>466</v>
      </c>
      <c r="E244" t="s">
        <v>462</v>
      </c>
      <c r="F244" s="4">
        <v>1</v>
      </c>
      <c r="G244" s="4">
        <f>ui!B$4</f>
        <v>2025</v>
      </c>
      <c r="H244" s="4">
        <f>ui!B$5</f>
        <v>2050</v>
      </c>
      <c r="I244" s="4" t="s">
        <v>93</v>
      </c>
      <c r="J244" s="4" t="str">
        <f>VLOOKUP(ui!B$2,dropdown!M:O,3,FALSE)</f>
        <v>LIC</v>
      </c>
      <c r="K244" s="4"/>
      <c r="L244" s="4"/>
      <c r="M244" s="4"/>
      <c r="N244" s="4">
        <v>1</v>
      </c>
      <c r="O244" s="4"/>
      <c r="P244" s="4"/>
      <c r="Q244" s="4"/>
      <c r="R244" s="4">
        <v>1</v>
      </c>
      <c r="S244" s="4"/>
      <c r="T244" s="4"/>
      <c r="U244" s="4"/>
      <c r="V244" s="4"/>
      <c r="W244" s="4"/>
      <c r="X244" s="4"/>
      <c r="Y244" s="4"/>
      <c r="Z244" s="4"/>
      <c r="AA244" t="b">
        <f>VLOOKUP(all_inputs!E244,ui!A$29:B$33,2,FALSE)</f>
        <v>0</v>
      </c>
    </row>
    <row r="245" spans="1:27" hidden="1" x14ac:dyDescent="0.25">
      <c r="A245" t="s">
        <v>26</v>
      </c>
      <c r="B245">
        <f>IF(COUNTIF(dropdown!B$2:B$12,all_inputs!A245)=1,1,IF(COUNTIF(dropdown!C$2:C$4,all_inputs!A245)=1,2,IF(COUNTIF(dropdown!D$2:D$3,all_inputs!A245)=1,3,"?")))</f>
        <v>1</v>
      </c>
      <c r="C245" t="s">
        <v>16</v>
      </c>
      <c r="D245" t="s">
        <v>467</v>
      </c>
      <c r="E245" t="s">
        <v>462</v>
      </c>
      <c r="F245">
        <f>IF(AND(all_inputs!E245=dropdown!Z$8, COUNTIF(dropdown!Z$9:Z$19,all_inputs!A245)=1), dropdown!U$12, 1)</f>
        <v>1</v>
      </c>
      <c r="G245" s="4">
        <f>ui!B$4</f>
        <v>2025</v>
      </c>
      <c r="H245" s="4">
        <f>ui!B$5</f>
        <v>2050</v>
      </c>
      <c r="I245" s="4" t="s">
        <v>93</v>
      </c>
      <c r="J245" s="4" t="str">
        <f>VLOOKUP(ui!B$2,dropdown!M:O,3,FALSE)</f>
        <v>LIC</v>
      </c>
      <c r="K245" s="4"/>
      <c r="L245" s="4"/>
      <c r="M245" s="4"/>
      <c r="N245" s="4">
        <v>1</v>
      </c>
      <c r="O245" s="4"/>
      <c r="P245" s="4"/>
      <c r="Q245" s="4"/>
      <c r="R245" s="4">
        <v>1</v>
      </c>
      <c r="S245" s="4"/>
      <c r="T245" s="4"/>
      <c r="U245" s="4"/>
      <c r="V245" s="4"/>
      <c r="W245" s="4"/>
      <c r="X245" s="4"/>
      <c r="Y245" s="4"/>
      <c r="Z245" s="4"/>
      <c r="AA245" t="b">
        <f>VLOOKUP(all_inputs!E245,ui!A$29:B$33,2,FALSE)</f>
        <v>0</v>
      </c>
    </row>
    <row r="246" spans="1:27" hidden="1" x14ac:dyDescent="0.25">
      <c r="A246" t="s">
        <v>26</v>
      </c>
      <c r="B246">
        <f>IF(COUNTIF(dropdown!B$2:B$12,all_inputs!A246)=1,1,IF(COUNTIF(dropdown!C$2:C$4,all_inputs!A246)=1,2,IF(COUNTIF(dropdown!D$2:D$3,all_inputs!A246)=1,3,"?")))</f>
        <v>1</v>
      </c>
      <c r="C246" t="s">
        <v>17</v>
      </c>
      <c r="D246" t="s">
        <v>468</v>
      </c>
      <c r="E246" t="s">
        <v>462</v>
      </c>
      <c r="F246">
        <f>IF(AND(all_inputs!E246=dropdown!Z$8, COUNTIF(dropdown!Z$9:Z$19,all_inputs!A246)=1), dropdown!U$13, 1)</f>
        <v>1</v>
      </c>
      <c r="G246" s="4">
        <f>ui!B$4</f>
        <v>2025</v>
      </c>
      <c r="H246" s="4">
        <f>ui!B$5</f>
        <v>2050</v>
      </c>
      <c r="I246" s="4" t="s">
        <v>93</v>
      </c>
      <c r="J246" s="4" t="str">
        <f>VLOOKUP(ui!B$2,dropdown!M:O,3,FALSE)</f>
        <v>LIC</v>
      </c>
      <c r="K246" s="4"/>
      <c r="L246" s="4"/>
      <c r="M246" s="4"/>
      <c r="N246" s="4">
        <v>1</v>
      </c>
      <c r="O246" s="4"/>
      <c r="P246" s="4"/>
      <c r="Q246" s="4"/>
      <c r="R246" s="4">
        <v>1</v>
      </c>
      <c r="S246" s="4"/>
      <c r="T246" s="4"/>
      <c r="U246" s="4"/>
      <c r="V246" s="4"/>
      <c r="W246" s="4"/>
      <c r="X246" s="4"/>
      <c r="Y246" s="4"/>
      <c r="Z246" s="4"/>
      <c r="AA246" t="b">
        <f>VLOOKUP(all_inputs!E246,ui!A$29:B$33,2,FALSE)</f>
        <v>0</v>
      </c>
    </row>
    <row r="247" spans="1:27" hidden="1" x14ac:dyDescent="0.25">
      <c r="A247" s="2" t="s">
        <v>26</v>
      </c>
      <c r="B247" s="2">
        <f>IF(COUNTIF(dropdown!B$2:B$12,all_inputs!A247)=1,1,IF(COUNTIF(dropdown!C$2:C$4,all_inputs!A247)=1,2,IF(COUNTIF(dropdown!D$2:D$3,all_inputs!A247)=1,3,"?")))</f>
        <v>1</v>
      </c>
      <c r="C247" s="2" t="s">
        <v>18</v>
      </c>
      <c r="D247" s="2" t="s">
        <v>469</v>
      </c>
      <c r="E247" s="2" t="s">
        <v>462</v>
      </c>
      <c r="F247" s="2">
        <f>IF(AND(all_inputs!E247=dropdown!Z$8, COUNTIF(dropdown!Z$9:Z$19,all_inputs!A247)=1), dropdown!U$14, 1)</f>
        <v>1</v>
      </c>
      <c r="G247" s="5">
        <f>ui!B$4</f>
        <v>2025</v>
      </c>
      <c r="H247" s="5">
        <f>ui!B$5</f>
        <v>2050</v>
      </c>
      <c r="I247" s="5" t="s">
        <v>93</v>
      </c>
      <c r="J247" s="5" t="str">
        <f>VLOOKUP(ui!B$2,dropdown!M:O,3,FALSE)</f>
        <v>LIC</v>
      </c>
      <c r="K247" s="5"/>
      <c r="L247" s="5"/>
      <c r="M247" s="5"/>
      <c r="N247" s="5">
        <v>1</v>
      </c>
      <c r="O247" s="5"/>
      <c r="P247" s="5"/>
      <c r="Q247" s="5"/>
      <c r="R247" s="5">
        <v>1</v>
      </c>
      <c r="S247" s="5"/>
      <c r="T247" s="5"/>
      <c r="U247" s="5"/>
      <c r="V247" s="5"/>
      <c r="W247" s="5"/>
      <c r="X247" s="5"/>
      <c r="Y247" s="5"/>
      <c r="Z247" s="5"/>
      <c r="AA247" s="2" t="b">
        <f>VLOOKUP(all_inputs!E247,ui!A$29:B$33,2,FALSE)</f>
        <v>0</v>
      </c>
    </row>
    <row r="248" spans="1:27" hidden="1" x14ac:dyDescent="0.25">
      <c r="A248" t="s">
        <v>27</v>
      </c>
      <c r="B248">
        <f>IF(COUNTIF(dropdown!B$2:B$12,all_inputs!A248)=1,1,IF(COUNTIF(dropdown!C$2:C$4,all_inputs!A248)=1,2,IF(COUNTIF(dropdown!D$2:D$3,all_inputs!A248)=1,3,"?")))</f>
        <v>1</v>
      </c>
      <c r="C248" t="s">
        <v>13</v>
      </c>
      <c r="D248" t="s">
        <v>472</v>
      </c>
      <c r="E248" t="s">
        <v>462</v>
      </c>
      <c r="F248" s="4">
        <v>1</v>
      </c>
      <c r="G248" s="4">
        <f>ui!B$4</f>
        <v>2025</v>
      </c>
      <c r="H248" s="4">
        <f>ui!B$5</f>
        <v>2050</v>
      </c>
      <c r="I248" s="4" t="s">
        <v>93</v>
      </c>
      <c r="J248" s="4" t="str">
        <f>VLOOKUP(ui!B$2,dropdown!M:O,3,FALSE)</f>
        <v>LIC</v>
      </c>
      <c r="K248" s="4"/>
      <c r="L248" s="4"/>
      <c r="M248" s="4"/>
      <c r="N248" s="4">
        <v>1</v>
      </c>
      <c r="O248" s="4"/>
      <c r="P248" s="4"/>
      <c r="Q248" s="4"/>
      <c r="R248" s="4">
        <v>1</v>
      </c>
      <c r="S248" s="4"/>
      <c r="T248" s="4"/>
      <c r="U248" s="4"/>
      <c r="V248" s="4"/>
      <c r="W248" s="4"/>
      <c r="X248" s="4"/>
      <c r="Y248" s="4"/>
      <c r="Z248" s="4"/>
      <c r="AA248" t="b">
        <f>VLOOKUP(all_inputs!E248,ui!A$29:B$33,2,FALSE)</f>
        <v>0</v>
      </c>
    </row>
    <row r="249" spans="1:27" hidden="1" x14ac:dyDescent="0.25">
      <c r="A249" t="s">
        <v>27</v>
      </c>
      <c r="B249">
        <f>IF(COUNTIF(dropdown!B$2:B$12,all_inputs!A249)=1,1,IF(COUNTIF(dropdown!C$2:C$4,all_inputs!A249)=1,2,IF(COUNTIF(dropdown!D$2:D$3,all_inputs!A249)=1,3,"?")))</f>
        <v>1</v>
      </c>
      <c r="C249" t="s">
        <v>14</v>
      </c>
      <c r="D249" t="s">
        <v>466</v>
      </c>
      <c r="E249" t="s">
        <v>462</v>
      </c>
      <c r="F249">
        <f>IF(AND(all_inputs!E249=dropdown!Z$8, COUNTIF(dropdown!Z$9:Z$19,all_inputs!A249)=1), dropdown!U$10, 1)</f>
        <v>1</v>
      </c>
      <c r="G249" s="4">
        <f>ui!B$4</f>
        <v>2025</v>
      </c>
      <c r="H249" s="4">
        <f>ui!B$5</f>
        <v>2050</v>
      </c>
      <c r="I249" s="4" t="s">
        <v>93</v>
      </c>
      <c r="J249" s="4" t="str">
        <f>VLOOKUP(ui!B$2,dropdown!M:O,3,FALSE)</f>
        <v>LIC</v>
      </c>
      <c r="K249" s="4"/>
      <c r="L249" s="4"/>
      <c r="M249" s="4"/>
      <c r="N249" s="4">
        <v>1</v>
      </c>
      <c r="O249" s="4"/>
      <c r="P249" s="4"/>
      <c r="Q249" s="4"/>
      <c r="R249" s="4">
        <v>1</v>
      </c>
      <c r="S249" s="4"/>
      <c r="T249" s="4"/>
      <c r="U249" s="4"/>
      <c r="V249" s="4"/>
      <c r="W249" s="4"/>
      <c r="X249" s="4"/>
      <c r="Y249" s="4"/>
      <c r="Z249" s="4"/>
      <c r="AA249" t="b">
        <f>VLOOKUP(all_inputs!E249,ui!A$29:B$33,2,FALSE)</f>
        <v>0</v>
      </c>
    </row>
    <row r="250" spans="1:27" hidden="1" x14ac:dyDescent="0.25">
      <c r="A250" t="s">
        <v>27</v>
      </c>
      <c r="B250">
        <f>IF(COUNTIF(dropdown!B$2:B$12,all_inputs!A250)=1,1,IF(COUNTIF(dropdown!C$2:C$4,all_inputs!A250)=1,2,IF(COUNTIF(dropdown!D$2:D$3,all_inputs!A250)=1,3,"?")))</f>
        <v>1</v>
      </c>
      <c r="C250" t="s">
        <v>15</v>
      </c>
      <c r="D250" t="s">
        <v>466</v>
      </c>
      <c r="E250" t="s">
        <v>462</v>
      </c>
      <c r="F250" s="4">
        <v>1</v>
      </c>
      <c r="G250" s="4">
        <f>ui!B$4</f>
        <v>2025</v>
      </c>
      <c r="H250" s="4">
        <f>ui!B$5</f>
        <v>2050</v>
      </c>
      <c r="I250" s="4" t="s">
        <v>93</v>
      </c>
      <c r="J250" s="4" t="str">
        <f>VLOOKUP(ui!B$2,dropdown!M:O,3,FALSE)</f>
        <v>LIC</v>
      </c>
      <c r="K250" s="4"/>
      <c r="L250" s="4"/>
      <c r="M250" s="4"/>
      <c r="N250" s="4">
        <v>1</v>
      </c>
      <c r="O250" s="4"/>
      <c r="P250" s="4"/>
      <c r="Q250" s="4"/>
      <c r="R250" s="4">
        <v>1</v>
      </c>
      <c r="S250" s="4"/>
      <c r="T250" s="4"/>
      <c r="U250" s="4"/>
      <c r="V250" s="4"/>
      <c r="W250" s="4"/>
      <c r="X250" s="4"/>
      <c r="Y250" s="4"/>
      <c r="Z250" s="4"/>
      <c r="AA250" t="b">
        <f>VLOOKUP(all_inputs!E250,ui!A$29:B$33,2,FALSE)</f>
        <v>0</v>
      </c>
    </row>
    <row r="251" spans="1:27" hidden="1" x14ac:dyDescent="0.25">
      <c r="A251" t="s">
        <v>27</v>
      </c>
      <c r="B251">
        <f>IF(COUNTIF(dropdown!B$2:B$12,all_inputs!A251)=1,1,IF(COUNTIF(dropdown!C$2:C$4,all_inputs!A251)=1,2,IF(COUNTIF(dropdown!D$2:D$3,all_inputs!A251)=1,3,"?")))</f>
        <v>1</v>
      </c>
      <c r="C251" t="s">
        <v>16</v>
      </c>
      <c r="D251" t="s">
        <v>467</v>
      </c>
      <c r="E251" t="s">
        <v>462</v>
      </c>
      <c r="F251">
        <f>IF(AND(all_inputs!E251=dropdown!Z$8, COUNTIF(dropdown!Z$9:Z$19,all_inputs!A251)=1), dropdown!U$12, 1)</f>
        <v>1</v>
      </c>
      <c r="G251" s="4">
        <f>ui!B$4</f>
        <v>2025</v>
      </c>
      <c r="H251" s="4">
        <f>ui!B$5</f>
        <v>2050</v>
      </c>
      <c r="I251" s="4" t="s">
        <v>93</v>
      </c>
      <c r="J251" s="4" t="str">
        <f>VLOOKUP(ui!B$2,dropdown!M:O,3,FALSE)</f>
        <v>LIC</v>
      </c>
      <c r="K251" s="4"/>
      <c r="L251" s="4"/>
      <c r="M251" s="4"/>
      <c r="N251" s="4">
        <v>1</v>
      </c>
      <c r="O251" s="4"/>
      <c r="P251" s="4"/>
      <c r="Q251" s="4"/>
      <c r="R251" s="4">
        <v>1</v>
      </c>
      <c r="S251" s="4"/>
      <c r="T251" s="4"/>
      <c r="U251" s="4"/>
      <c r="V251" s="4"/>
      <c r="W251" s="4"/>
      <c r="X251" s="4"/>
      <c r="Y251" s="4"/>
      <c r="Z251" s="4"/>
      <c r="AA251" t="b">
        <f>VLOOKUP(all_inputs!E251,ui!A$29:B$33,2,FALSE)</f>
        <v>0</v>
      </c>
    </row>
    <row r="252" spans="1:27" hidden="1" x14ac:dyDescent="0.25">
      <c r="A252" t="s">
        <v>27</v>
      </c>
      <c r="B252">
        <f>IF(COUNTIF(dropdown!B$2:B$12,all_inputs!A252)=1,1,IF(COUNTIF(dropdown!C$2:C$4,all_inputs!A252)=1,2,IF(COUNTIF(dropdown!D$2:D$3,all_inputs!A252)=1,3,"?")))</f>
        <v>1</v>
      </c>
      <c r="C252" t="s">
        <v>17</v>
      </c>
      <c r="D252" t="s">
        <v>468</v>
      </c>
      <c r="E252" t="s">
        <v>462</v>
      </c>
      <c r="F252">
        <f>IF(AND(all_inputs!E252=dropdown!Z$8, COUNTIF(dropdown!Z$9:Z$19,all_inputs!A252)=1), dropdown!U$13, 1)</f>
        <v>1</v>
      </c>
      <c r="G252" s="4">
        <f>ui!B$4</f>
        <v>2025</v>
      </c>
      <c r="H252" s="4">
        <f>ui!B$5</f>
        <v>2050</v>
      </c>
      <c r="I252" s="4" t="s">
        <v>93</v>
      </c>
      <c r="J252" s="4" t="str">
        <f>VLOOKUP(ui!B$2,dropdown!M:O,3,FALSE)</f>
        <v>LIC</v>
      </c>
      <c r="K252" s="4"/>
      <c r="L252" s="4"/>
      <c r="M252" s="4"/>
      <c r="N252" s="4">
        <v>1</v>
      </c>
      <c r="O252" s="4"/>
      <c r="P252" s="4"/>
      <c r="Q252" s="4"/>
      <c r="R252" s="4">
        <v>1</v>
      </c>
      <c r="S252" s="4"/>
      <c r="T252" s="4"/>
      <c r="U252" s="4"/>
      <c r="V252" s="4"/>
      <c r="W252" s="4"/>
      <c r="X252" s="4"/>
      <c r="Y252" s="4"/>
      <c r="Z252" s="4"/>
      <c r="AA252" t="b">
        <f>VLOOKUP(all_inputs!E252,ui!A$29:B$33,2,FALSE)</f>
        <v>0</v>
      </c>
    </row>
    <row r="253" spans="1:27" hidden="1" x14ac:dyDescent="0.25">
      <c r="A253" s="2" t="s">
        <v>27</v>
      </c>
      <c r="B253" s="2">
        <f>IF(COUNTIF(dropdown!B$2:B$12,all_inputs!A253)=1,1,IF(COUNTIF(dropdown!C$2:C$4,all_inputs!A253)=1,2,IF(COUNTIF(dropdown!D$2:D$3,all_inputs!A253)=1,3,"?")))</f>
        <v>1</v>
      </c>
      <c r="C253" s="2" t="s">
        <v>18</v>
      </c>
      <c r="D253" s="2" t="s">
        <v>469</v>
      </c>
      <c r="E253" s="2" t="s">
        <v>462</v>
      </c>
      <c r="F253" s="2">
        <f>IF(AND(all_inputs!E253=dropdown!Z$8, COUNTIF(dropdown!Z$9:Z$19,all_inputs!A253)=1), dropdown!U$14, 1)</f>
        <v>1</v>
      </c>
      <c r="G253" s="5">
        <f>ui!B$4</f>
        <v>2025</v>
      </c>
      <c r="H253" s="5">
        <f>ui!B$5</f>
        <v>2050</v>
      </c>
      <c r="I253" s="5" t="s">
        <v>93</v>
      </c>
      <c r="J253" s="5" t="str">
        <f>VLOOKUP(ui!B$2,dropdown!M:O,3,FALSE)</f>
        <v>LIC</v>
      </c>
      <c r="K253" s="5"/>
      <c r="L253" s="5"/>
      <c r="M253" s="5"/>
      <c r="N253" s="5">
        <v>1</v>
      </c>
      <c r="O253" s="5"/>
      <c r="P253" s="5"/>
      <c r="Q253" s="5"/>
      <c r="R253" s="5">
        <v>1</v>
      </c>
      <c r="S253" s="5"/>
      <c r="T253" s="5"/>
      <c r="U253" s="5"/>
      <c r="V253" s="5"/>
      <c r="W253" s="5"/>
      <c r="X253" s="5"/>
      <c r="Y253" s="5"/>
      <c r="Z253" s="5"/>
      <c r="AA253" s="2" t="b">
        <f>VLOOKUP(all_inputs!E253,ui!A$29:B$33,2,FALSE)</f>
        <v>0</v>
      </c>
    </row>
    <row r="254" spans="1:27" hidden="1" x14ac:dyDescent="0.25">
      <c r="A254" t="s">
        <v>28</v>
      </c>
      <c r="B254">
        <f>IF(COUNTIF(dropdown!B$2:B$12,all_inputs!A254)=1,1,IF(COUNTIF(dropdown!C$2:C$4,all_inputs!A254)=1,2,IF(COUNTIF(dropdown!D$2:D$3,all_inputs!A254)=1,3,"?")))</f>
        <v>1</v>
      </c>
      <c r="C254" t="s">
        <v>13</v>
      </c>
      <c r="D254" t="s">
        <v>472</v>
      </c>
      <c r="E254" t="s">
        <v>462</v>
      </c>
      <c r="F254" s="4">
        <v>1</v>
      </c>
      <c r="G254" s="4">
        <f>ui!B$4</f>
        <v>2025</v>
      </c>
      <c r="H254" s="4">
        <f>ui!B$5</f>
        <v>2050</v>
      </c>
      <c r="I254" s="4" t="s">
        <v>93</v>
      </c>
      <c r="J254" s="4" t="str">
        <f>VLOOKUP(ui!B$2,dropdown!M:O,3,FALSE)</f>
        <v>LIC</v>
      </c>
      <c r="K254" s="4"/>
      <c r="L254" s="4"/>
      <c r="M254" s="4"/>
      <c r="N254" s="4">
        <v>1</v>
      </c>
      <c r="O254" s="4"/>
      <c r="P254" s="4"/>
      <c r="Q254" s="4"/>
      <c r="R254" s="4">
        <v>1</v>
      </c>
      <c r="S254" s="4"/>
      <c r="T254" s="4"/>
      <c r="U254" s="4"/>
      <c r="V254" s="4"/>
      <c r="W254" s="4"/>
      <c r="X254" s="4"/>
      <c r="Y254" s="4"/>
      <c r="Z254" s="4"/>
      <c r="AA254" t="b">
        <f>VLOOKUP(all_inputs!E254,ui!A$29:B$33,2,FALSE)</f>
        <v>0</v>
      </c>
    </row>
    <row r="255" spans="1:27" hidden="1" x14ac:dyDescent="0.25">
      <c r="A255" t="s">
        <v>28</v>
      </c>
      <c r="B255">
        <f>IF(COUNTIF(dropdown!B$2:B$12,all_inputs!A255)=1,1,IF(COUNTIF(dropdown!C$2:C$4,all_inputs!A255)=1,2,IF(COUNTIF(dropdown!D$2:D$3,all_inputs!A255)=1,3,"?")))</f>
        <v>1</v>
      </c>
      <c r="C255" t="s">
        <v>14</v>
      </c>
      <c r="D255" t="s">
        <v>466</v>
      </c>
      <c r="E255" t="s">
        <v>462</v>
      </c>
      <c r="F255">
        <f>IF(AND(all_inputs!E255=dropdown!Z$8, COUNTIF(dropdown!Z$9:Z$19,all_inputs!A255)=1), dropdown!U$10, 1)</f>
        <v>1</v>
      </c>
      <c r="G255" s="4">
        <f>ui!B$4</f>
        <v>2025</v>
      </c>
      <c r="H255" s="4">
        <f>ui!B$5</f>
        <v>2050</v>
      </c>
      <c r="I255" s="4" t="s">
        <v>93</v>
      </c>
      <c r="J255" s="4" t="str">
        <f>VLOOKUP(ui!B$2,dropdown!M:O,3,FALSE)</f>
        <v>LIC</v>
      </c>
      <c r="K255" s="4"/>
      <c r="L255" s="4"/>
      <c r="M255" s="4"/>
      <c r="N255" s="4">
        <v>1</v>
      </c>
      <c r="O255" s="4"/>
      <c r="P255" s="4"/>
      <c r="Q255" s="4"/>
      <c r="R255" s="4">
        <v>1</v>
      </c>
      <c r="S255" s="4"/>
      <c r="T255" s="4"/>
      <c r="U255" s="4"/>
      <c r="V255" s="4"/>
      <c r="W255" s="4"/>
      <c r="X255" s="4"/>
      <c r="Y255" s="4"/>
      <c r="Z255" s="4"/>
      <c r="AA255" t="b">
        <f>VLOOKUP(all_inputs!E255,ui!A$29:B$33,2,FALSE)</f>
        <v>0</v>
      </c>
    </row>
    <row r="256" spans="1:27" hidden="1" x14ac:dyDescent="0.25">
      <c r="A256" t="s">
        <v>28</v>
      </c>
      <c r="B256">
        <f>IF(COUNTIF(dropdown!B$2:B$12,all_inputs!A256)=1,1,IF(COUNTIF(dropdown!C$2:C$4,all_inputs!A256)=1,2,IF(COUNTIF(dropdown!D$2:D$3,all_inputs!A256)=1,3,"?")))</f>
        <v>1</v>
      </c>
      <c r="C256" t="s">
        <v>15</v>
      </c>
      <c r="D256" t="s">
        <v>466</v>
      </c>
      <c r="E256" t="s">
        <v>462</v>
      </c>
      <c r="F256" s="4">
        <v>1</v>
      </c>
      <c r="G256" s="4">
        <f>ui!B$4</f>
        <v>2025</v>
      </c>
      <c r="H256" s="4">
        <f>ui!B$5</f>
        <v>2050</v>
      </c>
      <c r="I256" s="4" t="s">
        <v>93</v>
      </c>
      <c r="J256" s="4" t="str">
        <f>VLOOKUP(ui!B$2,dropdown!M:O,3,FALSE)</f>
        <v>LIC</v>
      </c>
      <c r="K256" s="4"/>
      <c r="L256" s="4"/>
      <c r="M256" s="4"/>
      <c r="N256" s="4">
        <v>1</v>
      </c>
      <c r="O256" s="4"/>
      <c r="P256" s="4"/>
      <c r="Q256" s="4"/>
      <c r="R256" s="4">
        <v>1</v>
      </c>
      <c r="S256" s="4"/>
      <c r="T256" s="4"/>
      <c r="U256" s="4"/>
      <c r="V256" s="4"/>
      <c r="W256" s="4"/>
      <c r="X256" s="4"/>
      <c r="Y256" s="4"/>
      <c r="Z256" s="4"/>
      <c r="AA256" t="b">
        <f>VLOOKUP(all_inputs!E256,ui!A$29:B$33,2,FALSE)</f>
        <v>0</v>
      </c>
    </row>
    <row r="257" spans="1:27" hidden="1" x14ac:dyDescent="0.25">
      <c r="A257" t="s">
        <v>28</v>
      </c>
      <c r="B257">
        <f>IF(COUNTIF(dropdown!B$2:B$12,all_inputs!A257)=1,1,IF(COUNTIF(dropdown!C$2:C$4,all_inputs!A257)=1,2,IF(COUNTIF(dropdown!D$2:D$3,all_inputs!A257)=1,3,"?")))</f>
        <v>1</v>
      </c>
      <c r="C257" t="s">
        <v>16</v>
      </c>
      <c r="D257" t="s">
        <v>467</v>
      </c>
      <c r="E257" t="s">
        <v>462</v>
      </c>
      <c r="F257">
        <f>IF(AND(all_inputs!E257=dropdown!Z$8, COUNTIF(dropdown!Z$9:Z$19,all_inputs!A257)=1), dropdown!U$12, 1)</f>
        <v>1</v>
      </c>
      <c r="G257" s="4">
        <f>ui!B$4</f>
        <v>2025</v>
      </c>
      <c r="H257" s="4">
        <f>ui!B$5</f>
        <v>2050</v>
      </c>
      <c r="I257" s="4" t="s">
        <v>93</v>
      </c>
      <c r="J257" s="4" t="str">
        <f>VLOOKUP(ui!B$2,dropdown!M:O,3,FALSE)</f>
        <v>LIC</v>
      </c>
      <c r="K257" s="4"/>
      <c r="L257" s="4"/>
      <c r="M257" s="4"/>
      <c r="N257" s="4">
        <v>1</v>
      </c>
      <c r="O257" s="4"/>
      <c r="P257" s="4"/>
      <c r="Q257" s="4"/>
      <c r="R257" s="4">
        <v>1</v>
      </c>
      <c r="S257" s="4"/>
      <c r="T257" s="4"/>
      <c r="U257" s="4"/>
      <c r="V257" s="4"/>
      <c r="W257" s="4"/>
      <c r="X257" s="4"/>
      <c r="Y257" s="4"/>
      <c r="Z257" s="4"/>
      <c r="AA257" t="b">
        <f>VLOOKUP(all_inputs!E257,ui!A$29:B$33,2,FALSE)</f>
        <v>0</v>
      </c>
    </row>
    <row r="258" spans="1:27" hidden="1" x14ac:dyDescent="0.25">
      <c r="A258" t="s">
        <v>28</v>
      </c>
      <c r="B258">
        <f>IF(COUNTIF(dropdown!B$2:B$12,all_inputs!A258)=1,1,IF(COUNTIF(dropdown!C$2:C$4,all_inputs!A258)=1,2,IF(COUNTIF(dropdown!D$2:D$3,all_inputs!A258)=1,3,"?")))</f>
        <v>1</v>
      </c>
      <c r="C258" t="s">
        <v>17</v>
      </c>
      <c r="D258" t="s">
        <v>468</v>
      </c>
      <c r="E258" t="s">
        <v>462</v>
      </c>
      <c r="F258">
        <f>IF(AND(all_inputs!E258=dropdown!Z$8, COUNTIF(dropdown!Z$9:Z$19,all_inputs!A258)=1), dropdown!U$13, 1)</f>
        <v>1</v>
      </c>
      <c r="G258" s="4">
        <f>ui!B$4</f>
        <v>2025</v>
      </c>
      <c r="H258" s="4">
        <f>ui!B$5</f>
        <v>2050</v>
      </c>
      <c r="I258" s="4" t="s">
        <v>93</v>
      </c>
      <c r="J258" s="4" t="str">
        <f>VLOOKUP(ui!B$2,dropdown!M:O,3,FALSE)</f>
        <v>LIC</v>
      </c>
      <c r="K258" s="4"/>
      <c r="L258" s="4"/>
      <c r="M258" s="4"/>
      <c r="N258" s="4">
        <v>1</v>
      </c>
      <c r="O258" s="4"/>
      <c r="P258" s="4"/>
      <c r="Q258" s="4"/>
      <c r="R258" s="4">
        <v>1</v>
      </c>
      <c r="S258" s="4"/>
      <c r="T258" s="4"/>
      <c r="U258" s="4"/>
      <c r="V258" s="4"/>
      <c r="W258" s="4"/>
      <c r="X258" s="4"/>
      <c r="Y258" s="4"/>
      <c r="Z258" s="4"/>
      <c r="AA258" t="b">
        <f>VLOOKUP(all_inputs!E258,ui!A$29:B$33,2,FALSE)</f>
        <v>0</v>
      </c>
    </row>
    <row r="259" spans="1:27" hidden="1" x14ac:dyDescent="0.25">
      <c r="A259" s="2" t="s">
        <v>28</v>
      </c>
      <c r="B259" s="2">
        <f>IF(COUNTIF(dropdown!B$2:B$12,all_inputs!A259)=1,1,IF(COUNTIF(dropdown!C$2:C$4,all_inputs!A259)=1,2,IF(COUNTIF(dropdown!D$2:D$3,all_inputs!A259)=1,3,"?")))</f>
        <v>1</v>
      </c>
      <c r="C259" s="2" t="s">
        <v>18</v>
      </c>
      <c r="D259" s="2" t="s">
        <v>469</v>
      </c>
      <c r="E259" s="2" t="s">
        <v>462</v>
      </c>
      <c r="F259" s="2">
        <f>IF(AND(all_inputs!E259=dropdown!Z$8, COUNTIF(dropdown!Z$9:Z$19,all_inputs!A259)=1), dropdown!U$14, 1)</f>
        <v>1</v>
      </c>
      <c r="G259" s="5">
        <f>ui!B$4</f>
        <v>2025</v>
      </c>
      <c r="H259" s="5">
        <f>ui!B$5</f>
        <v>2050</v>
      </c>
      <c r="I259" s="5" t="s">
        <v>93</v>
      </c>
      <c r="J259" s="5" t="str">
        <f>VLOOKUP(ui!B$2,dropdown!M:O,3,FALSE)</f>
        <v>LIC</v>
      </c>
      <c r="K259" s="5"/>
      <c r="L259" s="5"/>
      <c r="M259" s="5"/>
      <c r="N259" s="5">
        <v>1</v>
      </c>
      <c r="O259" s="5"/>
      <c r="P259" s="5"/>
      <c r="Q259" s="5"/>
      <c r="R259" s="5">
        <v>1</v>
      </c>
      <c r="S259" s="5"/>
      <c r="T259" s="5"/>
      <c r="U259" s="5"/>
      <c r="V259" s="5"/>
      <c r="W259" s="5"/>
      <c r="X259" s="5"/>
      <c r="Y259" s="5"/>
      <c r="Z259" s="5"/>
      <c r="AA259" s="2" t="b">
        <f>VLOOKUP(all_inputs!E259,ui!A$29:B$33,2,FALSE)</f>
        <v>0</v>
      </c>
    </row>
    <row r="260" spans="1:27" hidden="1" x14ac:dyDescent="0.25">
      <c r="A260" t="s">
        <v>29</v>
      </c>
      <c r="B260">
        <f>IF(COUNTIF(dropdown!B$2:B$12,all_inputs!A260)=1,1,IF(COUNTIF(dropdown!C$2:C$4,all_inputs!A260)=1,2,IF(COUNTIF(dropdown!D$2:D$3,all_inputs!A260)=1,3,"?")))</f>
        <v>2</v>
      </c>
      <c r="C260" t="s">
        <v>13</v>
      </c>
      <c r="D260" t="s">
        <v>472</v>
      </c>
      <c r="E260" t="s">
        <v>462</v>
      </c>
      <c r="F260" s="4">
        <v>1</v>
      </c>
      <c r="G260" s="4">
        <f>ui!B$4</f>
        <v>2025</v>
      </c>
      <c r="H260" s="4">
        <f>ui!B$5</f>
        <v>2050</v>
      </c>
      <c r="I260" s="4" t="s">
        <v>93</v>
      </c>
      <c r="J260" s="4" t="str">
        <f>VLOOKUP(ui!B$2,dropdown!M:O,3,FALSE)</f>
        <v>LIC</v>
      </c>
      <c r="K260" s="4"/>
      <c r="L260" s="4"/>
      <c r="M260" s="4"/>
      <c r="N260" s="4">
        <v>1</v>
      </c>
      <c r="O260" s="4"/>
      <c r="P260" s="4"/>
      <c r="Q260" s="4"/>
      <c r="R260" s="4">
        <v>1</v>
      </c>
      <c r="S260" s="4"/>
      <c r="T260" s="4"/>
      <c r="U260" s="4"/>
      <c r="V260" s="4"/>
      <c r="W260" s="4"/>
      <c r="X260" s="4"/>
      <c r="Y260" s="4"/>
      <c r="Z260" s="4"/>
      <c r="AA260" t="b">
        <f>VLOOKUP(all_inputs!E260,ui!A$29:B$33,2,FALSE)</f>
        <v>0</v>
      </c>
    </row>
    <row r="261" spans="1:27" hidden="1" x14ac:dyDescent="0.25">
      <c r="A261" t="s">
        <v>29</v>
      </c>
      <c r="B261">
        <f>IF(COUNTIF(dropdown!B$2:B$12,all_inputs!A261)=1,1,IF(COUNTIF(dropdown!C$2:C$4,all_inputs!A261)=1,2,IF(COUNTIF(dropdown!D$2:D$3,all_inputs!A261)=1,3,"?")))</f>
        <v>2</v>
      </c>
      <c r="C261" t="s">
        <v>14</v>
      </c>
      <c r="D261" t="s">
        <v>466</v>
      </c>
      <c r="E261" t="s">
        <v>462</v>
      </c>
      <c r="F261">
        <f>IF(AND(all_inputs!E261=dropdown!Z$8, COUNTIF(dropdown!Z$9:Z$19,all_inputs!A261)=1), dropdown!U$10, 1)</f>
        <v>1</v>
      </c>
      <c r="G261" s="4">
        <f>ui!B$4</f>
        <v>2025</v>
      </c>
      <c r="H261" s="4">
        <f>ui!B$5</f>
        <v>2050</v>
      </c>
      <c r="I261" s="4" t="s">
        <v>93</v>
      </c>
      <c r="J261" s="4" t="str">
        <f>VLOOKUP(ui!B$2,dropdown!M:O,3,FALSE)</f>
        <v>LIC</v>
      </c>
      <c r="K261" s="4"/>
      <c r="L261" s="4"/>
      <c r="M261" s="4"/>
      <c r="N261" s="4">
        <v>1</v>
      </c>
      <c r="O261" s="4"/>
      <c r="P261" s="4"/>
      <c r="Q261" s="4"/>
      <c r="R261" s="4">
        <v>1</v>
      </c>
      <c r="S261" s="4"/>
      <c r="T261" s="4"/>
      <c r="U261" s="4"/>
      <c r="V261" s="4"/>
      <c r="W261" s="4"/>
      <c r="X261" s="4"/>
      <c r="Y261" s="4"/>
      <c r="Z261" s="4"/>
      <c r="AA261" t="b">
        <f>VLOOKUP(all_inputs!E261,ui!A$29:B$33,2,FALSE)</f>
        <v>0</v>
      </c>
    </row>
    <row r="262" spans="1:27" hidden="1" x14ac:dyDescent="0.25">
      <c r="A262" t="s">
        <v>29</v>
      </c>
      <c r="B262">
        <f>IF(COUNTIF(dropdown!B$2:B$12,all_inputs!A262)=1,1,IF(COUNTIF(dropdown!C$2:C$4,all_inputs!A262)=1,2,IF(COUNTIF(dropdown!D$2:D$3,all_inputs!A262)=1,3,"?")))</f>
        <v>2</v>
      </c>
      <c r="C262" t="s">
        <v>15</v>
      </c>
      <c r="D262" t="s">
        <v>466</v>
      </c>
      <c r="E262" t="s">
        <v>462</v>
      </c>
      <c r="F262" s="4">
        <v>1</v>
      </c>
      <c r="G262" s="4">
        <f>ui!B$4</f>
        <v>2025</v>
      </c>
      <c r="H262" s="4">
        <f>ui!B$5</f>
        <v>2050</v>
      </c>
      <c r="I262" s="4" t="s">
        <v>93</v>
      </c>
      <c r="J262" s="4" t="str">
        <f>VLOOKUP(ui!B$2,dropdown!M:O,3,FALSE)</f>
        <v>LIC</v>
      </c>
      <c r="K262" s="4"/>
      <c r="L262" s="4"/>
      <c r="M262" s="4"/>
      <c r="N262" s="4">
        <v>1</v>
      </c>
      <c r="O262" s="4"/>
      <c r="P262" s="4"/>
      <c r="Q262" s="4"/>
      <c r="R262" s="4">
        <v>1</v>
      </c>
      <c r="S262" s="4"/>
      <c r="T262" s="4"/>
      <c r="U262" s="4"/>
      <c r="V262" s="4"/>
      <c r="W262" s="4"/>
      <c r="X262" s="4"/>
      <c r="Y262" s="4"/>
      <c r="Z262" s="4"/>
      <c r="AA262" t="b">
        <f>VLOOKUP(all_inputs!E262,ui!A$29:B$33,2,FALSE)</f>
        <v>0</v>
      </c>
    </row>
    <row r="263" spans="1:27" hidden="1" x14ac:dyDescent="0.25">
      <c r="A263" t="s">
        <v>29</v>
      </c>
      <c r="B263">
        <f>IF(COUNTIF(dropdown!B$2:B$12,all_inputs!A263)=1,1,IF(COUNTIF(dropdown!C$2:C$4,all_inputs!A263)=1,2,IF(COUNTIF(dropdown!D$2:D$3,all_inputs!A263)=1,3,"?")))</f>
        <v>2</v>
      </c>
      <c r="C263" t="s">
        <v>16</v>
      </c>
      <c r="D263" t="s">
        <v>467</v>
      </c>
      <c r="E263" t="s">
        <v>462</v>
      </c>
      <c r="F263">
        <f>IF(AND(all_inputs!E263=dropdown!Z$8, COUNTIF(dropdown!Z$9:Z$19,all_inputs!A263)=1), dropdown!U$12, 1)</f>
        <v>1</v>
      </c>
      <c r="G263" s="4">
        <f>ui!B$4</f>
        <v>2025</v>
      </c>
      <c r="H263" s="4">
        <f>ui!B$5</f>
        <v>2050</v>
      </c>
      <c r="I263" s="4" t="s">
        <v>93</v>
      </c>
      <c r="J263" s="4" t="str">
        <f>VLOOKUP(ui!B$2,dropdown!M:O,3,FALSE)</f>
        <v>LIC</v>
      </c>
      <c r="K263" s="4"/>
      <c r="L263" s="4"/>
      <c r="M263" s="4"/>
      <c r="N263" s="4">
        <v>1</v>
      </c>
      <c r="O263" s="4"/>
      <c r="P263" s="4"/>
      <c r="Q263" s="4"/>
      <c r="R263" s="4">
        <v>1</v>
      </c>
      <c r="S263" s="4"/>
      <c r="T263" s="4"/>
      <c r="U263" s="4"/>
      <c r="V263" s="4"/>
      <c r="W263" s="4"/>
      <c r="X263" s="4"/>
      <c r="Y263" s="4"/>
      <c r="Z263" s="4"/>
      <c r="AA263" t="b">
        <f>VLOOKUP(all_inputs!E263,ui!A$29:B$33,2,FALSE)</f>
        <v>0</v>
      </c>
    </row>
    <row r="264" spans="1:27" hidden="1" x14ac:dyDescent="0.25">
      <c r="A264" t="s">
        <v>29</v>
      </c>
      <c r="B264">
        <f>IF(COUNTIF(dropdown!B$2:B$12,all_inputs!A264)=1,1,IF(COUNTIF(dropdown!C$2:C$4,all_inputs!A264)=1,2,IF(COUNTIF(dropdown!D$2:D$3,all_inputs!A264)=1,3,"?")))</f>
        <v>2</v>
      </c>
      <c r="C264" t="s">
        <v>17</v>
      </c>
      <c r="D264" t="s">
        <v>468</v>
      </c>
      <c r="E264" t="s">
        <v>462</v>
      </c>
      <c r="F264">
        <f>IF(AND(all_inputs!E264=dropdown!Z$8, COUNTIF(dropdown!Z$9:Z$19,all_inputs!A264)=1), dropdown!U$13, 1)</f>
        <v>1</v>
      </c>
      <c r="G264" s="4">
        <f>ui!B$4</f>
        <v>2025</v>
      </c>
      <c r="H264" s="4">
        <f>ui!B$5</f>
        <v>2050</v>
      </c>
      <c r="I264" s="4" t="s">
        <v>93</v>
      </c>
      <c r="J264" s="4" t="str">
        <f>VLOOKUP(ui!B$2,dropdown!M:O,3,FALSE)</f>
        <v>LIC</v>
      </c>
      <c r="K264" s="4"/>
      <c r="L264" s="4"/>
      <c r="M264" s="4"/>
      <c r="N264" s="4">
        <v>1</v>
      </c>
      <c r="O264" s="4"/>
      <c r="P264" s="4"/>
      <c r="Q264" s="4"/>
      <c r="R264" s="4">
        <v>1</v>
      </c>
      <c r="S264" s="4"/>
      <c r="T264" s="4"/>
      <c r="U264" s="4"/>
      <c r="V264" s="4"/>
      <c r="W264" s="4"/>
      <c r="X264" s="4"/>
      <c r="Y264" s="4"/>
      <c r="Z264" s="4"/>
      <c r="AA264" t="b">
        <f>VLOOKUP(all_inputs!E264,ui!A$29:B$33,2,FALSE)</f>
        <v>0</v>
      </c>
    </row>
    <row r="265" spans="1:27" hidden="1" x14ac:dyDescent="0.25">
      <c r="A265" s="2" t="s">
        <v>29</v>
      </c>
      <c r="B265" s="2">
        <f>IF(COUNTIF(dropdown!B$2:B$12,all_inputs!A265)=1,1,IF(COUNTIF(dropdown!C$2:C$4,all_inputs!A265)=1,2,IF(COUNTIF(dropdown!D$2:D$3,all_inputs!A265)=1,3,"?")))</f>
        <v>2</v>
      </c>
      <c r="C265" s="2" t="s">
        <v>18</v>
      </c>
      <c r="D265" s="2" t="s">
        <v>469</v>
      </c>
      <c r="E265" s="2" t="s">
        <v>462</v>
      </c>
      <c r="F265" s="2">
        <f>IF(AND(all_inputs!E265=dropdown!Z$8, COUNTIF(dropdown!Z$9:Z$19,all_inputs!A265)=1), dropdown!U$14, 1)</f>
        <v>1</v>
      </c>
      <c r="G265" s="5">
        <f>ui!B$4</f>
        <v>2025</v>
      </c>
      <c r="H265" s="5">
        <f>ui!B$5</f>
        <v>2050</v>
      </c>
      <c r="I265" s="5" t="s">
        <v>93</v>
      </c>
      <c r="J265" s="5" t="str">
        <f>VLOOKUP(ui!B$2,dropdown!M:O,3,FALSE)</f>
        <v>LIC</v>
      </c>
      <c r="K265" s="5"/>
      <c r="L265" s="5"/>
      <c r="M265" s="5"/>
      <c r="N265" s="5">
        <v>1</v>
      </c>
      <c r="O265" s="5"/>
      <c r="P265" s="5"/>
      <c r="Q265" s="5"/>
      <c r="R265" s="5">
        <v>1</v>
      </c>
      <c r="S265" s="5"/>
      <c r="T265" s="5"/>
      <c r="U265" s="5"/>
      <c r="V265" s="5"/>
      <c r="W265" s="5"/>
      <c r="X265" s="5"/>
      <c r="Y265" s="5"/>
      <c r="Z265" s="5"/>
      <c r="AA265" s="2" t="b">
        <f>VLOOKUP(all_inputs!E265,ui!A$29:B$33,2,FALSE)</f>
        <v>0</v>
      </c>
    </row>
    <row r="266" spans="1:27" hidden="1" x14ac:dyDescent="0.25">
      <c r="A266" t="s">
        <v>30</v>
      </c>
      <c r="B266">
        <f>IF(COUNTIF(dropdown!B$2:B$12,all_inputs!A266)=1,1,IF(COUNTIF(dropdown!C$2:C$4,all_inputs!A266)=1,2,IF(COUNTIF(dropdown!D$2:D$3,all_inputs!A266)=1,3,"?")))</f>
        <v>1</v>
      </c>
      <c r="C266" t="s">
        <v>13</v>
      </c>
      <c r="D266" t="s">
        <v>472</v>
      </c>
      <c r="E266" t="s">
        <v>462</v>
      </c>
      <c r="F266" s="4">
        <v>1</v>
      </c>
      <c r="G266" s="4">
        <f>ui!B$4</f>
        <v>2025</v>
      </c>
      <c r="H266" s="4">
        <f>ui!B$5</f>
        <v>2050</v>
      </c>
      <c r="I266" s="4" t="s">
        <v>93</v>
      </c>
      <c r="J266" s="4" t="str">
        <f>VLOOKUP(ui!B$2,dropdown!M:O,3,FALSE)</f>
        <v>LIC</v>
      </c>
      <c r="K266" s="4"/>
      <c r="L266" s="4"/>
      <c r="M266" s="4"/>
      <c r="N266" s="4">
        <v>1</v>
      </c>
      <c r="O266" s="4"/>
      <c r="P266" s="4"/>
      <c r="Q266" s="4"/>
      <c r="R266" s="4">
        <v>1</v>
      </c>
      <c r="S266" s="4"/>
      <c r="T266" s="4"/>
      <c r="U266" s="4"/>
      <c r="V266" s="4"/>
      <c r="W266" s="4"/>
      <c r="X266" s="4"/>
      <c r="Y266" s="4"/>
      <c r="Z266" s="4"/>
      <c r="AA266" t="b">
        <f>VLOOKUP(all_inputs!E266,ui!A$29:B$33,2,FALSE)</f>
        <v>0</v>
      </c>
    </row>
    <row r="267" spans="1:27" hidden="1" x14ac:dyDescent="0.25">
      <c r="A267" t="s">
        <v>30</v>
      </c>
      <c r="B267">
        <f>IF(COUNTIF(dropdown!B$2:B$12,all_inputs!A267)=1,1,IF(COUNTIF(dropdown!C$2:C$4,all_inputs!A267)=1,2,IF(COUNTIF(dropdown!D$2:D$3,all_inputs!A267)=1,3,"?")))</f>
        <v>1</v>
      </c>
      <c r="C267" t="s">
        <v>14</v>
      </c>
      <c r="D267" t="s">
        <v>466</v>
      </c>
      <c r="E267" t="s">
        <v>462</v>
      </c>
      <c r="F267">
        <f>IF(AND(all_inputs!E267=dropdown!Z$8, COUNTIF(dropdown!Z$9:Z$19,all_inputs!A267)=1), dropdown!U$10, 1)</f>
        <v>1</v>
      </c>
      <c r="G267" s="4">
        <f>ui!B$4</f>
        <v>2025</v>
      </c>
      <c r="H267" s="4">
        <f>ui!B$5</f>
        <v>2050</v>
      </c>
      <c r="I267" s="4" t="s">
        <v>93</v>
      </c>
      <c r="J267" s="4" t="str">
        <f>VLOOKUP(ui!B$2,dropdown!M:O,3,FALSE)</f>
        <v>LIC</v>
      </c>
      <c r="K267" s="4"/>
      <c r="L267" s="4"/>
      <c r="M267" s="4"/>
      <c r="N267" s="4">
        <v>1</v>
      </c>
      <c r="O267" s="4"/>
      <c r="P267" s="4"/>
      <c r="Q267" s="4"/>
      <c r="R267" s="4">
        <v>1</v>
      </c>
      <c r="S267" s="4"/>
      <c r="T267" s="4"/>
      <c r="U267" s="4"/>
      <c r="V267" s="4"/>
      <c r="W267" s="4"/>
      <c r="X267" s="4"/>
      <c r="Y267" s="4"/>
      <c r="Z267" s="4"/>
      <c r="AA267" t="b">
        <f>VLOOKUP(all_inputs!E267,ui!A$29:B$33,2,FALSE)</f>
        <v>0</v>
      </c>
    </row>
    <row r="268" spans="1:27" hidden="1" x14ac:dyDescent="0.25">
      <c r="A268" t="s">
        <v>30</v>
      </c>
      <c r="B268">
        <f>IF(COUNTIF(dropdown!B$2:B$12,all_inputs!A268)=1,1,IF(COUNTIF(dropdown!C$2:C$4,all_inputs!A268)=1,2,IF(COUNTIF(dropdown!D$2:D$3,all_inputs!A268)=1,3,"?")))</f>
        <v>1</v>
      </c>
      <c r="C268" t="s">
        <v>15</v>
      </c>
      <c r="D268" t="s">
        <v>466</v>
      </c>
      <c r="E268" t="s">
        <v>462</v>
      </c>
      <c r="F268" s="4">
        <v>1</v>
      </c>
      <c r="G268" s="4">
        <f>ui!B$4</f>
        <v>2025</v>
      </c>
      <c r="H268" s="4">
        <f>ui!B$5</f>
        <v>2050</v>
      </c>
      <c r="I268" s="4" t="s">
        <v>93</v>
      </c>
      <c r="J268" s="4" t="str">
        <f>VLOOKUP(ui!B$2,dropdown!M:O,3,FALSE)</f>
        <v>LIC</v>
      </c>
      <c r="K268" s="4"/>
      <c r="L268" s="4"/>
      <c r="M268" s="4"/>
      <c r="N268" s="4">
        <v>1</v>
      </c>
      <c r="O268" s="4"/>
      <c r="P268" s="4"/>
      <c r="Q268" s="4"/>
      <c r="R268" s="4">
        <v>1</v>
      </c>
      <c r="S268" s="4"/>
      <c r="T268" s="4"/>
      <c r="U268" s="4"/>
      <c r="V268" s="4"/>
      <c r="W268" s="4"/>
      <c r="X268" s="4"/>
      <c r="Y268" s="4"/>
      <c r="Z268" s="4"/>
      <c r="AA268" t="b">
        <f>VLOOKUP(all_inputs!E268,ui!A$29:B$33,2,FALSE)</f>
        <v>0</v>
      </c>
    </row>
    <row r="269" spans="1:27" hidden="1" x14ac:dyDescent="0.25">
      <c r="A269" t="s">
        <v>30</v>
      </c>
      <c r="B269">
        <f>IF(COUNTIF(dropdown!B$2:B$12,all_inputs!A269)=1,1,IF(COUNTIF(dropdown!C$2:C$4,all_inputs!A269)=1,2,IF(COUNTIF(dropdown!D$2:D$3,all_inputs!A269)=1,3,"?")))</f>
        <v>1</v>
      </c>
      <c r="C269" t="s">
        <v>16</v>
      </c>
      <c r="D269" t="s">
        <v>467</v>
      </c>
      <c r="E269" t="s">
        <v>462</v>
      </c>
      <c r="F269">
        <f>IF(AND(all_inputs!E269=dropdown!Z$8, COUNTIF(dropdown!Z$9:Z$19,all_inputs!A269)=1), dropdown!U$12, 1)</f>
        <v>1</v>
      </c>
      <c r="G269" s="4">
        <f>ui!B$4</f>
        <v>2025</v>
      </c>
      <c r="H269" s="4">
        <f>ui!B$5</f>
        <v>2050</v>
      </c>
      <c r="I269" s="4" t="s">
        <v>93</v>
      </c>
      <c r="J269" s="4" t="str">
        <f>VLOOKUP(ui!B$2,dropdown!M:O,3,FALSE)</f>
        <v>LIC</v>
      </c>
      <c r="K269" s="4"/>
      <c r="L269" s="4"/>
      <c r="M269" s="4"/>
      <c r="N269" s="4">
        <v>1</v>
      </c>
      <c r="O269" s="4"/>
      <c r="P269" s="4"/>
      <c r="Q269" s="4"/>
      <c r="R269" s="4">
        <v>1</v>
      </c>
      <c r="S269" s="4"/>
      <c r="T269" s="4"/>
      <c r="U269" s="4"/>
      <c r="V269" s="4"/>
      <c r="W269" s="4"/>
      <c r="X269" s="4"/>
      <c r="Y269" s="4"/>
      <c r="Z269" s="4"/>
      <c r="AA269" t="b">
        <f>VLOOKUP(all_inputs!E269,ui!A$29:B$33,2,FALSE)</f>
        <v>0</v>
      </c>
    </row>
    <row r="270" spans="1:27" hidden="1" x14ac:dyDescent="0.25">
      <c r="A270" t="s">
        <v>30</v>
      </c>
      <c r="B270">
        <f>IF(COUNTIF(dropdown!B$2:B$12,all_inputs!A270)=1,1,IF(COUNTIF(dropdown!C$2:C$4,all_inputs!A270)=1,2,IF(COUNTIF(dropdown!D$2:D$3,all_inputs!A270)=1,3,"?")))</f>
        <v>1</v>
      </c>
      <c r="C270" t="s">
        <v>17</v>
      </c>
      <c r="D270" t="s">
        <v>468</v>
      </c>
      <c r="E270" t="s">
        <v>462</v>
      </c>
      <c r="F270">
        <f>IF(AND(all_inputs!E270=dropdown!Z$8, COUNTIF(dropdown!Z$9:Z$19,all_inputs!A270)=1), dropdown!U$13, 1)</f>
        <v>1</v>
      </c>
      <c r="G270" s="4">
        <f>ui!B$4</f>
        <v>2025</v>
      </c>
      <c r="H270" s="4">
        <f>ui!B$5</f>
        <v>2050</v>
      </c>
      <c r="I270" s="4" t="s">
        <v>93</v>
      </c>
      <c r="J270" s="4" t="str">
        <f>VLOOKUP(ui!B$2,dropdown!M:O,3,FALSE)</f>
        <v>LIC</v>
      </c>
      <c r="K270" s="4"/>
      <c r="L270" s="4"/>
      <c r="M270" s="4"/>
      <c r="N270" s="4">
        <v>1</v>
      </c>
      <c r="O270" s="4"/>
      <c r="P270" s="4"/>
      <c r="Q270" s="4"/>
      <c r="R270" s="4">
        <v>1</v>
      </c>
      <c r="S270" s="4"/>
      <c r="T270" s="4"/>
      <c r="U270" s="4"/>
      <c r="V270" s="4"/>
      <c r="W270" s="4"/>
      <c r="X270" s="4"/>
      <c r="Y270" s="4"/>
      <c r="Z270" s="4"/>
      <c r="AA270" t="b">
        <f>VLOOKUP(all_inputs!E270,ui!A$29:B$33,2,FALSE)</f>
        <v>0</v>
      </c>
    </row>
    <row r="271" spans="1:27" hidden="1" x14ac:dyDescent="0.25">
      <c r="A271" s="2" t="s">
        <v>30</v>
      </c>
      <c r="B271" s="2">
        <f>IF(COUNTIF(dropdown!B$2:B$12,all_inputs!A271)=1,1,IF(COUNTIF(dropdown!C$2:C$4,all_inputs!A271)=1,2,IF(COUNTIF(dropdown!D$2:D$3,all_inputs!A271)=1,3,"?")))</f>
        <v>1</v>
      </c>
      <c r="C271" s="2" t="s">
        <v>18</v>
      </c>
      <c r="D271" s="2" t="s">
        <v>469</v>
      </c>
      <c r="E271" s="2" t="s">
        <v>462</v>
      </c>
      <c r="F271" s="2">
        <f>IF(AND(all_inputs!E271=dropdown!Z$8, COUNTIF(dropdown!Z$9:Z$19,all_inputs!A271)=1), dropdown!U$14, 1)</f>
        <v>1</v>
      </c>
      <c r="G271" s="5">
        <f>ui!B$4</f>
        <v>2025</v>
      </c>
      <c r="H271" s="5">
        <f>ui!B$5</f>
        <v>2050</v>
      </c>
      <c r="I271" s="5" t="s">
        <v>93</v>
      </c>
      <c r="J271" s="5" t="str">
        <f>VLOOKUP(ui!B$2,dropdown!M:O,3,FALSE)</f>
        <v>LIC</v>
      </c>
      <c r="K271" s="5"/>
      <c r="L271" s="5"/>
      <c r="M271" s="5"/>
      <c r="N271" s="5">
        <v>1</v>
      </c>
      <c r="O271" s="5"/>
      <c r="P271" s="5"/>
      <c r="Q271" s="5"/>
      <c r="R271" s="5">
        <v>1</v>
      </c>
      <c r="S271" s="5"/>
      <c r="T271" s="5"/>
      <c r="U271" s="5"/>
      <c r="V271" s="5"/>
      <c r="W271" s="5"/>
      <c r="X271" s="5"/>
      <c r="Y271" s="5"/>
      <c r="Z271" s="5"/>
      <c r="AA271" s="2" t="b">
        <f>VLOOKUP(all_inputs!E271,ui!A$29:B$33,2,FALSE)</f>
        <v>0</v>
      </c>
    </row>
    <row r="272" spans="1:27" hidden="1" x14ac:dyDescent="0.25">
      <c r="A272" t="s">
        <v>31</v>
      </c>
      <c r="B272">
        <f>IF(COUNTIF(dropdown!B$2:B$12,all_inputs!A272)=1,1,IF(COUNTIF(dropdown!C$2:C$4,all_inputs!A272)=1,2,IF(COUNTIF(dropdown!D$2:D$3,all_inputs!A272)=1,3,"?")))</f>
        <v>1</v>
      </c>
      <c r="C272" t="s">
        <v>13</v>
      </c>
      <c r="D272" t="s">
        <v>472</v>
      </c>
      <c r="E272" t="s">
        <v>462</v>
      </c>
      <c r="F272" s="4">
        <v>1</v>
      </c>
      <c r="G272" s="4">
        <f>ui!B$4</f>
        <v>2025</v>
      </c>
      <c r="H272" s="4">
        <f>ui!B$5</f>
        <v>2050</v>
      </c>
      <c r="I272" s="4" t="s">
        <v>93</v>
      </c>
      <c r="J272" s="4" t="str">
        <f>VLOOKUP(ui!B$2,dropdown!M:O,3,FALSE)</f>
        <v>LIC</v>
      </c>
      <c r="K272" s="4"/>
      <c r="L272" s="4"/>
      <c r="M272" s="4"/>
      <c r="N272" s="4">
        <v>1</v>
      </c>
      <c r="O272" s="4"/>
      <c r="P272" s="4"/>
      <c r="Q272" s="4"/>
      <c r="R272" s="4">
        <v>1</v>
      </c>
      <c r="S272" s="4"/>
      <c r="T272" s="4"/>
      <c r="U272" s="4"/>
      <c r="V272" s="4"/>
      <c r="W272" s="4"/>
      <c r="X272" s="4"/>
      <c r="Y272" s="4"/>
      <c r="Z272" s="4"/>
      <c r="AA272" t="b">
        <f>VLOOKUP(all_inputs!E272,ui!A$29:B$33,2,FALSE)</f>
        <v>0</v>
      </c>
    </row>
    <row r="273" spans="1:27" hidden="1" x14ac:dyDescent="0.25">
      <c r="A273" t="s">
        <v>31</v>
      </c>
      <c r="B273">
        <f>IF(COUNTIF(dropdown!B$2:B$12,all_inputs!A273)=1,1,IF(COUNTIF(dropdown!C$2:C$4,all_inputs!A273)=1,2,IF(COUNTIF(dropdown!D$2:D$3,all_inputs!A273)=1,3,"?")))</f>
        <v>1</v>
      </c>
      <c r="C273" t="s">
        <v>14</v>
      </c>
      <c r="D273" t="s">
        <v>466</v>
      </c>
      <c r="E273" t="s">
        <v>462</v>
      </c>
      <c r="F273">
        <f>IF(AND(all_inputs!E273=dropdown!Z$8, COUNTIF(dropdown!Z$9:Z$19,all_inputs!A273)=1), dropdown!U$10, 1)</f>
        <v>1</v>
      </c>
      <c r="G273" s="4">
        <f>ui!B$4</f>
        <v>2025</v>
      </c>
      <c r="H273" s="4">
        <f>ui!B$5</f>
        <v>2050</v>
      </c>
      <c r="I273" s="4" t="s">
        <v>93</v>
      </c>
      <c r="J273" s="4" t="str">
        <f>VLOOKUP(ui!B$2,dropdown!M:O,3,FALSE)</f>
        <v>LIC</v>
      </c>
      <c r="K273" s="4"/>
      <c r="L273" s="4"/>
      <c r="M273" s="4"/>
      <c r="N273" s="4">
        <v>1</v>
      </c>
      <c r="O273" s="4"/>
      <c r="P273" s="4"/>
      <c r="Q273" s="4"/>
      <c r="R273" s="4">
        <v>1</v>
      </c>
      <c r="S273" s="4"/>
      <c r="T273" s="4"/>
      <c r="U273" s="4"/>
      <c r="V273" s="4"/>
      <c r="W273" s="4"/>
      <c r="X273" s="4"/>
      <c r="Y273" s="4"/>
      <c r="Z273" s="4"/>
      <c r="AA273" t="b">
        <f>VLOOKUP(all_inputs!E273,ui!A$29:B$33,2,FALSE)</f>
        <v>0</v>
      </c>
    </row>
    <row r="274" spans="1:27" hidden="1" x14ac:dyDescent="0.25">
      <c r="A274" t="s">
        <v>31</v>
      </c>
      <c r="B274">
        <f>IF(COUNTIF(dropdown!B$2:B$12,all_inputs!A274)=1,1,IF(COUNTIF(dropdown!C$2:C$4,all_inputs!A274)=1,2,IF(COUNTIF(dropdown!D$2:D$3,all_inputs!A274)=1,3,"?")))</f>
        <v>1</v>
      </c>
      <c r="C274" t="s">
        <v>15</v>
      </c>
      <c r="D274" t="s">
        <v>466</v>
      </c>
      <c r="E274" t="s">
        <v>462</v>
      </c>
      <c r="F274" s="4">
        <v>1</v>
      </c>
      <c r="G274" s="4">
        <f>ui!B$4</f>
        <v>2025</v>
      </c>
      <c r="H274" s="4">
        <f>ui!B$5</f>
        <v>2050</v>
      </c>
      <c r="I274" s="4" t="s">
        <v>93</v>
      </c>
      <c r="J274" s="4" t="str">
        <f>VLOOKUP(ui!B$2,dropdown!M:O,3,FALSE)</f>
        <v>LIC</v>
      </c>
      <c r="K274" s="4"/>
      <c r="L274" s="4"/>
      <c r="M274" s="4"/>
      <c r="N274" s="4">
        <v>1</v>
      </c>
      <c r="O274" s="4"/>
      <c r="P274" s="4"/>
      <c r="Q274" s="4"/>
      <c r="R274" s="4">
        <v>1</v>
      </c>
      <c r="S274" s="4"/>
      <c r="T274" s="4"/>
      <c r="U274" s="4"/>
      <c r="V274" s="4"/>
      <c r="W274" s="4"/>
      <c r="X274" s="4"/>
      <c r="Y274" s="4"/>
      <c r="Z274" s="4"/>
      <c r="AA274" t="b">
        <f>VLOOKUP(all_inputs!E274,ui!A$29:B$33,2,FALSE)</f>
        <v>0</v>
      </c>
    </row>
    <row r="275" spans="1:27" hidden="1" x14ac:dyDescent="0.25">
      <c r="A275" t="s">
        <v>31</v>
      </c>
      <c r="B275">
        <f>IF(COUNTIF(dropdown!B$2:B$12,all_inputs!A275)=1,1,IF(COUNTIF(dropdown!C$2:C$4,all_inputs!A275)=1,2,IF(COUNTIF(dropdown!D$2:D$3,all_inputs!A275)=1,3,"?")))</f>
        <v>1</v>
      </c>
      <c r="C275" t="s">
        <v>16</v>
      </c>
      <c r="D275" t="s">
        <v>467</v>
      </c>
      <c r="E275" t="s">
        <v>462</v>
      </c>
      <c r="F275">
        <f>IF(AND(all_inputs!E275=dropdown!Z$8, COUNTIF(dropdown!Z$9:Z$19,all_inputs!A275)=1), dropdown!U$12, 1)</f>
        <v>1</v>
      </c>
      <c r="G275" s="4">
        <f>ui!B$4</f>
        <v>2025</v>
      </c>
      <c r="H275" s="4">
        <f>ui!B$5</f>
        <v>2050</v>
      </c>
      <c r="I275" s="4" t="s">
        <v>93</v>
      </c>
      <c r="J275" s="4" t="str">
        <f>VLOOKUP(ui!B$2,dropdown!M:O,3,FALSE)</f>
        <v>LIC</v>
      </c>
      <c r="K275" s="4"/>
      <c r="L275" s="4"/>
      <c r="M275" s="4"/>
      <c r="N275" s="4">
        <v>1</v>
      </c>
      <c r="O275" s="4"/>
      <c r="P275" s="4"/>
      <c r="Q275" s="4"/>
      <c r="R275" s="4">
        <v>1</v>
      </c>
      <c r="S275" s="4"/>
      <c r="T275" s="4"/>
      <c r="U275" s="4"/>
      <c r="V275" s="4"/>
      <c r="W275" s="4"/>
      <c r="X275" s="4"/>
      <c r="Y275" s="4"/>
      <c r="Z275" s="4"/>
      <c r="AA275" t="b">
        <f>VLOOKUP(all_inputs!E275,ui!A$29:B$33,2,FALSE)</f>
        <v>0</v>
      </c>
    </row>
    <row r="276" spans="1:27" hidden="1" x14ac:dyDescent="0.25">
      <c r="A276" t="s">
        <v>31</v>
      </c>
      <c r="B276">
        <f>IF(COUNTIF(dropdown!B$2:B$12,all_inputs!A276)=1,1,IF(COUNTIF(dropdown!C$2:C$4,all_inputs!A276)=1,2,IF(COUNTIF(dropdown!D$2:D$3,all_inputs!A276)=1,3,"?")))</f>
        <v>1</v>
      </c>
      <c r="C276" t="s">
        <v>17</v>
      </c>
      <c r="D276" t="s">
        <v>468</v>
      </c>
      <c r="E276" t="s">
        <v>462</v>
      </c>
      <c r="F276">
        <f>IF(AND(all_inputs!E276=dropdown!Z$8, COUNTIF(dropdown!Z$9:Z$19,all_inputs!A276)=1), dropdown!U$13, 1)</f>
        <v>1</v>
      </c>
      <c r="G276" s="4">
        <f>ui!B$4</f>
        <v>2025</v>
      </c>
      <c r="H276" s="4">
        <f>ui!B$5</f>
        <v>2050</v>
      </c>
      <c r="I276" s="4" t="s">
        <v>93</v>
      </c>
      <c r="J276" s="4" t="str">
        <f>VLOOKUP(ui!B$2,dropdown!M:O,3,FALSE)</f>
        <v>LIC</v>
      </c>
      <c r="K276" s="4"/>
      <c r="L276" s="4"/>
      <c r="M276" s="4"/>
      <c r="N276" s="4">
        <v>1</v>
      </c>
      <c r="O276" s="4"/>
      <c r="P276" s="4"/>
      <c r="Q276" s="4"/>
      <c r="R276" s="4">
        <v>1</v>
      </c>
      <c r="S276" s="4"/>
      <c r="T276" s="4"/>
      <c r="U276" s="4"/>
      <c r="V276" s="4"/>
      <c r="W276" s="4"/>
      <c r="X276" s="4"/>
      <c r="Y276" s="4"/>
      <c r="Z276" s="4"/>
      <c r="AA276" t="b">
        <f>VLOOKUP(all_inputs!E276,ui!A$29:B$33,2,FALSE)</f>
        <v>0</v>
      </c>
    </row>
    <row r="277" spans="1:27" hidden="1" x14ac:dyDescent="0.25">
      <c r="A277" s="2" t="s">
        <v>31</v>
      </c>
      <c r="B277" s="2">
        <f>IF(COUNTIF(dropdown!B$2:B$12,all_inputs!A277)=1,1,IF(COUNTIF(dropdown!C$2:C$4,all_inputs!A277)=1,2,IF(COUNTIF(dropdown!D$2:D$3,all_inputs!A277)=1,3,"?")))</f>
        <v>1</v>
      </c>
      <c r="C277" s="2" t="s">
        <v>18</v>
      </c>
      <c r="D277" s="2" t="s">
        <v>469</v>
      </c>
      <c r="E277" s="2" t="s">
        <v>462</v>
      </c>
      <c r="F277" s="2">
        <f>IF(AND(all_inputs!E277=dropdown!Z$8, COUNTIF(dropdown!Z$9:Z$19,all_inputs!A277)=1), dropdown!U$14, 1)</f>
        <v>1</v>
      </c>
      <c r="G277" s="5">
        <f>ui!B$4</f>
        <v>2025</v>
      </c>
      <c r="H277" s="5">
        <f>ui!B$5</f>
        <v>2050</v>
      </c>
      <c r="I277" s="5" t="s">
        <v>93</v>
      </c>
      <c r="J277" s="5" t="str">
        <f>VLOOKUP(ui!B$2,dropdown!M:O,3,FALSE)</f>
        <v>LIC</v>
      </c>
      <c r="K277" s="5"/>
      <c r="L277" s="5"/>
      <c r="M277" s="5"/>
      <c r="N277" s="5">
        <v>1</v>
      </c>
      <c r="O277" s="5"/>
      <c r="P277" s="5"/>
      <c r="Q277" s="5"/>
      <c r="R277" s="5">
        <v>1</v>
      </c>
      <c r="S277" s="5"/>
      <c r="T277" s="5"/>
      <c r="U277" s="5"/>
      <c r="V277" s="5"/>
      <c r="W277" s="5"/>
      <c r="X277" s="5"/>
      <c r="Y277" s="5"/>
      <c r="Z277" s="5"/>
      <c r="AA277" s="2" t="b">
        <f>VLOOKUP(all_inputs!E277,ui!A$29:B$33,2,FALSE)</f>
        <v>0</v>
      </c>
    </row>
    <row r="278" spans="1:27" hidden="1" x14ac:dyDescent="0.25">
      <c r="A278" t="s">
        <v>32</v>
      </c>
      <c r="B278">
        <f>IF(COUNTIF(dropdown!B$2:B$12,all_inputs!A278)=1,1,IF(COUNTIF(dropdown!C$2:C$4,all_inputs!A278)=1,2,IF(COUNTIF(dropdown!D$2:D$3,all_inputs!A278)=1,3,"?")))</f>
        <v>2</v>
      </c>
      <c r="C278" t="s">
        <v>13</v>
      </c>
      <c r="D278" t="s">
        <v>472</v>
      </c>
      <c r="E278" t="s">
        <v>462</v>
      </c>
      <c r="F278" s="4">
        <v>1</v>
      </c>
      <c r="G278" s="4">
        <f>ui!B$4</f>
        <v>2025</v>
      </c>
      <c r="H278" s="4">
        <f>ui!B$5</f>
        <v>2050</v>
      </c>
      <c r="I278" s="4" t="s">
        <v>93</v>
      </c>
      <c r="J278" s="4" t="str">
        <f>VLOOKUP(ui!B$2,dropdown!M:O,3,FALSE)</f>
        <v>LIC</v>
      </c>
      <c r="K278" s="4"/>
      <c r="L278" s="4"/>
      <c r="M278" s="4"/>
      <c r="N278" s="4">
        <v>1</v>
      </c>
      <c r="O278" s="4"/>
      <c r="P278" s="4"/>
      <c r="Q278" s="4"/>
      <c r="R278" s="4">
        <v>1</v>
      </c>
      <c r="S278" s="4"/>
      <c r="T278" s="4"/>
      <c r="U278" s="4"/>
      <c r="V278" s="4"/>
      <c r="W278" s="4"/>
      <c r="X278" s="4"/>
      <c r="Y278" s="4"/>
      <c r="Z278" s="4"/>
      <c r="AA278" t="b">
        <f>VLOOKUP(all_inputs!E278,ui!A$29:B$33,2,FALSE)</f>
        <v>0</v>
      </c>
    </row>
    <row r="279" spans="1:27" hidden="1" x14ac:dyDescent="0.25">
      <c r="A279" t="s">
        <v>32</v>
      </c>
      <c r="B279">
        <f>IF(COUNTIF(dropdown!B$2:B$12,all_inputs!A279)=1,1,IF(COUNTIF(dropdown!C$2:C$4,all_inputs!A279)=1,2,IF(COUNTIF(dropdown!D$2:D$3,all_inputs!A279)=1,3,"?")))</f>
        <v>2</v>
      </c>
      <c r="C279" t="s">
        <v>14</v>
      </c>
      <c r="D279" t="s">
        <v>466</v>
      </c>
      <c r="E279" t="s">
        <v>462</v>
      </c>
      <c r="F279">
        <f>IF(AND(all_inputs!E279=dropdown!Z$8, COUNTIF(dropdown!Z$9:Z$19,all_inputs!A279)=1), dropdown!U$10, 1)</f>
        <v>1</v>
      </c>
      <c r="G279" s="4">
        <f>ui!B$4</f>
        <v>2025</v>
      </c>
      <c r="H279" s="4">
        <f>ui!B$5</f>
        <v>2050</v>
      </c>
      <c r="I279" s="4" t="s">
        <v>93</v>
      </c>
      <c r="J279" s="4" t="str">
        <f>VLOOKUP(ui!B$2,dropdown!M:O,3,FALSE)</f>
        <v>LIC</v>
      </c>
      <c r="K279" s="4"/>
      <c r="L279" s="4"/>
      <c r="M279" s="4"/>
      <c r="N279" s="4">
        <v>1</v>
      </c>
      <c r="O279" s="4"/>
      <c r="P279" s="4"/>
      <c r="Q279" s="4"/>
      <c r="R279" s="4">
        <v>1</v>
      </c>
      <c r="S279" s="4"/>
      <c r="T279" s="4"/>
      <c r="U279" s="4"/>
      <c r="V279" s="4"/>
      <c r="W279" s="4"/>
      <c r="X279" s="4"/>
      <c r="Y279" s="4"/>
      <c r="Z279" s="4"/>
      <c r="AA279" t="b">
        <f>VLOOKUP(all_inputs!E279,ui!A$29:B$33,2,FALSE)</f>
        <v>0</v>
      </c>
    </row>
    <row r="280" spans="1:27" hidden="1" x14ac:dyDescent="0.25">
      <c r="A280" t="s">
        <v>32</v>
      </c>
      <c r="B280">
        <f>IF(COUNTIF(dropdown!B$2:B$12,all_inputs!A280)=1,1,IF(COUNTIF(dropdown!C$2:C$4,all_inputs!A280)=1,2,IF(COUNTIF(dropdown!D$2:D$3,all_inputs!A280)=1,3,"?")))</f>
        <v>2</v>
      </c>
      <c r="C280" t="s">
        <v>15</v>
      </c>
      <c r="D280" t="s">
        <v>466</v>
      </c>
      <c r="E280" t="s">
        <v>462</v>
      </c>
      <c r="F280" s="4">
        <v>1</v>
      </c>
      <c r="G280" s="4">
        <f>ui!B$4</f>
        <v>2025</v>
      </c>
      <c r="H280" s="4">
        <f>ui!B$5</f>
        <v>2050</v>
      </c>
      <c r="I280" s="4" t="s">
        <v>93</v>
      </c>
      <c r="J280" s="4" t="str">
        <f>VLOOKUP(ui!B$2,dropdown!M:O,3,FALSE)</f>
        <v>LIC</v>
      </c>
      <c r="K280" s="4"/>
      <c r="L280" s="4"/>
      <c r="M280" s="4"/>
      <c r="N280" s="4">
        <v>1</v>
      </c>
      <c r="O280" s="4"/>
      <c r="P280" s="4"/>
      <c r="Q280" s="4"/>
      <c r="R280" s="4">
        <v>1</v>
      </c>
      <c r="S280" s="4"/>
      <c r="T280" s="4"/>
      <c r="U280" s="4"/>
      <c r="V280" s="4"/>
      <c r="W280" s="4"/>
      <c r="X280" s="4"/>
      <c r="Y280" s="4"/>
      <c r="Z280" s="4"/>
      <c r="AA280" t="b">
        <f>VLOOKUP(all_inputs!E280,ui!A$29:B$33,2,FALSE)</f>
        <v>0</v>
      </c>
    </row>
    <row r="281" spans="1:27" hidden="1" x14ac:dyDescent="0.25">
      <c r="A281" t="s">
        <v>32</v>
      </c>
      <c r="B281">
        <f>IF(COUNTIF(dropdown!B$2:B$12,all_inputs!A281)=1,1,IF(COUNTIF(dropdown!C$2:C$4,all_inputs!A281)=1,2,IF(COUNTIF(dropdown!D$2:D$3,all_inputs!A281)=1,3,"?")))</f>
        <v>2</v>
      </c>
      <c r="C281" t="s">
        <v>16</v>
      </c>
      <c r="D281" t="s">
        <v>467</v>
      </c>
      <c r="E281" t="s">
        <v>462</v>
      </c>
      <c r="F281">
        <f>IF(AND(all_inputs!E281=dropdown!Z$8, COUNTIF(dropdown!Z$9:Z$19,all_inputs!A281)=1), dropdown!U$12, 1)</f>
        <v>1</v>
      </c>
      <c r="G281" s="4">
        <f>ui!B$4</f>
        <v>2025</v>
      </c>
      <c r="H281" s="4">
        <f>ui!B$5</f>
        <v>2050</v>
      </c>
      <c r="I281" s="4" t="s">
        <v>93</v>
      </c>
      <c r="J281" s="4" t="str">
        <f>VLOOKUP(ui!B$2,dropdown!M:O,3,FALSE)</f>
        <v>LIC</v>
      </c>
      <c r="K281" s="4"/>
      <c r="L281" s="4"/>
      <c r="M281" s="4"/>
      <c r="N281" s="4">
        <v>1</v>
      </c>
      <c r="O281" s="4"/>
      <c r="P281" s="4"/>
      <c r="Q281" s="4"/>
      <c r="R281" s="4">
        <v>1</v>
      </c>
      <c r="S281" s="4"/>
      <c r="T281" s="4"/>
      <c r="U281" s="4"/>
      <c r="V281" s="4"/>
      <c r="W281" s="4"/>
      <c r="X281" s="4"/>
      <c r="Y281" s="4"/>
      <c r="Z281" s="4"/>
      <c r="AA281" t="b">
        <f>VLOOKUP(all_inputs!E281,ui!A$29:B$33,2,FALSE)</f>
        <v>0</v>
      </c>
    </row>
    <row r="282" spans="1:27" hidden="1" x14ac:dyDescent="0.25">
      <c r="A282" t="s">
        <v>32</v>
      </c>
      <c r="B282">
        <f>IF(COUNTIF(dropdown!B$2:B$12,all_inputs!A282)=1,1,IF(COUNTIF(dropdown!C$2:C$4,all_inputs!A282)=1,2,IF(COUNTIF(dropdown!D$2:D$3,all_inputs!A282)=1,3,"?")))</f>
        <v>2</v>
      </c>
      <c r="C282" t="s">
        <v>17</v>
      </c>
      <c r="D282" t="s">
        <v>468</v>
      </c>
      <c r="E282" t="s">
        <v>462</v>
      </c>
      <c r="F282">
        <f>IF(AND(all_inputs!E282=dropdown!Z$8, COUNTIF(dropdown!Z$9:Z$19,all_inputs!A282)=1), dropdown!U$13, 1)</f>
        <v>1</v>
      </c>
      <c r="G282" s="4">
        <f>ui!B$4</f>
        <v>2025</v>
      </c>
      <c r="H282" s="4">
        <f>ui!B$5</f>
        <v>2050</v>
      </c>
      <c r="I282" s="4" t="s">
        <v>93</v>
      </c>
      <c r="J282" s="4" t="str">
        <f>VLOOKUP(ui!B$2,dropdown!M:O,3,FALSE)</f>
        <v>LIC</v>
      </c>
      <c r="K282" s="4"/>
      <c r="L282" s="4"/>
      <c r="M282" s="4"/>
      <c r="N282" s="4">
        <v>1</v>
      </c>
      <c r="O282" s="4"/>
      <c r="P282" s="4"/>
      <c r="Q282" s="4"/>
      <c r="R282" s="4">
        <v>1</v>
      </c>
      <c r="S282" s="4"/>
      <c r="T282" s="4"/>
      <c r="U282" s="4"/>
      <c r="V282" s="4"/>
      <c r="W282" s="4"/>
      <c r="X282" s="4"/>
      <c r="Y282" s="4"/>
      <c r="Z282" s="4"/>
      <c r="AA282" t="b">
        <f>VLOOKUP(all_inputs!E282,ui!A$29:B$33,2,FALSE)</f>
        <v>0</v>
      </c>
    </row>
    <row r="283" spans="1:27" hidden="1" x14ac:dyDescent="0.25">
      <c r="A283" s="2" t="s">
        <v>32</v>
      </c>
      <c r="B283" s="2">
        <f>IF(COUNTIF(dropdown!B$2:B$12,all_inputs!A283)=1,1,IF(COUNTIF(dropdown!C$2:C$4,all_inputs!A283)=1,2,IF(COUNTIF(dropdown!D$2:D$3,all_inputs!A283)=1,3,"?")))</f>
        <v>2</v>
      </c>
      <c r="C283" s="2" t="s">
        <v>18</v>
      </c>
      <c r="D283" s="2" t="s">
        <v>469</v>
      </c>
      <c r="E283" s="2" t="s">
        <v>462</v>
      </c>
      <c r="F283" s="2">
        <f>IF(AND(all_inputs!E283=dropdown!Z$8, COUNTIF(dropdown!Z$9:Z$19,all_inputs!A283)=1), dropdown!U$14, 1)</f>
        <v>1</v>
      </c>
      <c r="G283" s="5">
        <f>ui!B$4</f>
        <v>2025</v>
      </c>
      <c r="H283" s="5">
        <f>ui!B$5</f>
        <v>2050</v>
      </c>
      <c r="I283" s="5" t="s">
        <v>93</v>
      </c>
      <c r="J283" s="5" t="str">
        <f>VLOOKUP(ui!B$2,dropdown!M:O,3,FALSE)</f>
        <v>LIC</v>
      </c>
      <c r="K283" s="5"/>
      <c r="L283" s="5"/>
      <c r="M283" s="5"/>
      <c r="N283" s="5">
        <v>1</v>
      </c>
      <c r="O283" s="5"/>
      <c r="P283" s="5"/>
      <c r="Q283" s="5"/>
      <c r="R283" s="5">
        <v>1</v>
      </c>
      <c r="S283" s="5"/>
      <c r="T283" s="5"/>
      <c r="U283" s="5"/>
      <c r="V283" s="5"/>
      <c r="W283" s="5"/>
      <c r="X283" s="5"/>
      <c r="Y283" s="5"/>
      <c r="Z283" s="5"/>
      <c r="AA283" s="2" t="b">
        <f>VLOOKUP(all_inputs!E283,ui!A$29:B$33,2,FALSE)</f>
        <v>0</v>
      </c>
    </row>
    <row r="284" spans="1:27" hidden="1" x14ac:dyDescent="0.25">
      <c r="A284" t="s">
        <v>33</v>
      </c>
      <c r="B284">
        <f>IF(COUNTIF(dropdown!B$2:B$12,all_inputs!A284)=1,1,IF(COUNTIF(dropdown!C$2:C$4,all_inputs!A284)=1,2,IF(COUNTIF(dropdown!D$2:D$3,all_inputs!A284)=1,3,"?")))</f>
        <v>1</v>
      </c>
      <c r="C284" t="s">
        <v>13</v>
      </c>
      <c r="D284" t="s">
        <v>472</v>
      </c>
      <c r="E284" t="s">
        <v>462</v>
      </c>
      <c r="F284" s="4">
        <v>1</v>
      </c>
      <c r="G284" s="4">
        <f>ui!B$4</f>
        <v>2025</v>
      </c>
      <c r="H284" s="4">
        <f>ui!B$5</f>
        <v>2050</v>
      </c>
      <c r="I284" s="4" t="s">
        <v>93</v>
      </c>
      <c r="J284" s="4" t="str">
        <f>VLOOKUP(ui!B$2,dropdown!M:O,3,FALSE)</f>
        <v>LIC</v>
      </c>
      <c r="K284" s="4"/>
      <c r="L284" s="4"/>
      <c r="M284" s="4"/>
      <c r="N284" s="4">
        <v>1</v>
      </c>
      <c r="O284" s="4"/>
      <c r="P284" s="4"/>
      <c r="Q284" s="4"/>
      <c r="R284" s="4">
        <v>1</v>
      </c>
      <c r="S284" s="4"/>
      <c r="T284" s="4"/>
      <c r="U284" s="4"/>
      <c r="V284" s="4"/>
      <c r="W284" s="4"/>
      <c r="X284" s="4"/>
      <c r="Y284" s="4"/>
      <c r="Z284" s="4"/>
      <c r="AA284" t="b">
        <f>VLOOKUP(all_inputs!E284,ui!A$29:B$33,2,FALSE)</f>
        <v>0</v>
      </c>
    </row>
    <row r="285" spans="1:27" hidden="1" x14ac:dyDescent="0.25">
      <c r="A285" t="s">
        <v>33</v>
      </c>
      <c r="B285">
        <f>IF(COUNTIF(dropdown!B$2:B$12,all_inputs!A285)=1,1,IF(COUNTIF(dropdown!C$2:C$4,all_inputs!A285)=1,2,IF(COUNTIF(dropdown!D$2:D$3,all_inputs!A285)=1,3,"?")))</f>
        <v>1</v>
      </c>
      <c r="C285" t="s">
        <v>14</v>
      </c>
      <c r="D285" t="s">
        <v>466</v>
      </c>
      <c r="E285" t="s">
        <v>462</v>
      </c>
      <c r="F285">
        <f>IF(AND(all_inputs!E285=dropdown!Z$8, COUNTIF(dropdown!Z$9:Z$19,all_inputs!A285)=1), dropdown!U$10, 1)</f>
        <v>1</v>
      </c>
      <c r="G285" s="4">
        <f>ui!B$4</f>
        <v>2025</v>
      </c>
      <c r="H285" s="4">
        <f>ui!B$5</f>
        <v>2050</v>
      </c>
      <c r="I285" s="4" t="s">
        <v>93</v>
      </c>
      <c r="J285" s="4" t="str">
        <f>VLOOKUP(ui!B$2,dropdown!M:O,3,FALSE)</f>
        <v>LIC</v>
      </c>
      <c r="K285" s="4"/>
      <c r="L285" s="4"/>
      <c r="M285" s="4"/>
      <c r="N285" s="4">
        <v>1</v>
      </c>
      <c r="O285" s="4"/>
      <c r="P285" s="4"/>
      <c r="Q285" s="4"/>
      <c r="R285" s="4">
        <v>1</v>
      </c>
      <c r="S285" s="4"/>
      <c r="T285" s="4"/>
      <c r="U285" s="4"/>
      <c r="V285" s="4"/>
      <c r="W285" s="4"/>
      <c r="X285" s="4"/>
      <c r="Y285" s="4"/>
      <c r="Z285" s="4"/>
      <c r="AA285" t="b">
        <f>VLOOKUP(all_inputs!E285,ui!A$29:B$33,2,FALSE)</f>
        <v>0</v>
      </c>
    </row>
    <row r="286" spans="1:27" hidden="1" x14ac:dyDescent="0.25">
      <c r="A286" t="s">
        <v>33</v>
      </c>
      <c r="B286">
        <f>IF(COUNTIF(dropdown!B$2:B$12,all_inputs!A286)=1,1,IF(COUNTIF(dropdown!C$2:C$4,all_inputs!A286)=1,2,IF(COUNTIF(dropdown!D$2:D$3,all_inputs!A286)=1,3,"?")))</f>
        <v>1</v>
      </c>
      <c r="C286" t="s">
        <v>15</v>
      </c>
      <c r="D286" t="s">
        <v>466</v>
      </c>
      <c r="E286" t="s">
        <v>462</v>
      </c>
      <c r="F286" s="4">
        <v>1</v>
      </c>
      <c r="G286" s="4">
        <f>ui!B$4</f>
        <v>2025</v>
      </c>
      <c r="H286" s="4">
        <f>ui!B$5</f>
        <v>2050</v>
      </c>
      <c r="I286" s="4" t="s">
        <v>93</v>
      </c>
      <c r="J286" s="4" t="str">
        <f>VLOOKUP(ui!B$2,dropdown!M:O,3,FALSE)</f>
        <v>LIC</v>
      </c>
      <c r="K286" s="4"/>
      <c r="L286" s="4"/>
      <c r="M286" s="4"/>
      <c r="N286" s="4">
        <v>1</v>
      </c>
      <c r="O286" s="4"/>
      <c r="P286" s="4"/>
      <c r="Q286" s="4"/>
      <c r="R286" s="4">
        <v>1</v>
      </c>
      <c r="S286" s="4"/>
      <c r="T286" s="4"/>
      <c r="U286" s="4"/>
      <c r="V286" s="4"/>
      <c r="W286" s="4"/>
      <c r="X286" s="4"/>
      <c r="Y286" s="4"/>
      <c r="Z286" s="4"/>
      <c r="AA286" t="b">
        <f>VLOOKUP(all_inputs!E286,ui!A$29:B$33,2,FALSE)</f>
        <v>0</v>
      </c>
    </row>
    <row r="287" spans="1:27" hidden="1" x14ac:dyDescent="0.25">
      <c r="A287" t="s">
        <v>33</v>
      </c>
      <c r="B287">
        <f>IF(COUNTIF(dropdown!B$2:B$12,all_inputs!A287)=1,1,IF(COUNTIF(dropdown!C$2:C$4,all_inputs!A287)=1,2,IF(COUNTIF(dropdown!D$2:D$3,all_inputs!A287)=1,3,"?")))</f>
        <v>1</v>
      </c>
      <c r="C287" t="s">
        <v>16</v>
      </c>
      <c r="D287" t="s">
        <v>467</v>
      </c>
      <c r="E287" t="s">
        <v>462</v>
      </c>
      <c r="F287">
        <f>IF(AND(all_inputs!E287=dropdown!Z$8, COUNTIF(dropdown!Z$9:Z$19,all_inputs!A287)=1), dropdown!U$12, 1)</f>
        <v>1</v>
      </c>
      <c r="G287" s="4">
        <f>ui!B$4</f>
        <v>2025</v>
      </c>
      <c r="H287" s="4">
        <f>ui!B$5</f>
        <v>2050</v>
      </c>
      <c r="I287" s="4" t="s">
        <v>93</v>
      </c>
      <c r="J287" s="4" t="str">
        <f>VLOOKUP(ui!B$2,dropdown!M:O,3,FALSE)</f>
        <v>LIC</v>
      </c>
      <c r="K287" s="4"/>
      <c r="L287" s="4"/>
      <c r="M287" s="4"/>
      <c r="N287" s="4">
        <v>1</v>
      </c>
      <c r="O287" s="4"/>
      <c r="P287" s="4"/>
      <c r="Q287" s="4"/>
      <c r="R287" s="4">
        <v>1</v>
      </c>
      <c r="S287" s="4"/>
      <c r="T287" s="4"/>
      <c r="U287" s="4"/>
      <c r="V287" s="4"/>
      <c r="W287" s="4"/>
      <c r="X287" s="4"/>
      <c r="Y287" s="4"/>
      <c r="Z287" s="4"/>
      <c r="AA287" t="b">
        <f>VLOOKUP(all_inputs!E287,ui!A$29:B$33,2,FALSE)</f>
        <v>0</v>
      </c>
    </row>
    <row r="288" spans="1:27" hidden="1" x14ac:dyDescent="0.25">
      <c r="A288" t="s">
        <v>33</v>
      </c>
      <c r="B288">
        <f>IF(COUNTIF(dropdown!B$2:B$12,all_inputs!A288)=1,1,IF(COUNTIF(dropdown!C$2:C$4,all_inputs!A288)=1,2,IF(COUNTIF(dropdown!D$2:D$3,all_inputs!A288)=1,3,"?")))</f>
        <v>1</v>
      </c>
      <c r="C288" t="s">
        <v>17</v>
      </c>
      <c r="D288" t="s">
        <v>468</v>
      </c>
      <c r="E288" t="s">
        <v>462</v>
      </c>
      <c r="F288">
        <f>IF(AND(all_inputs!E288=dropdown!Z$8, COUNTIF(dropdown!Z$9:Z$19,all_inputs!A288)=1), dropdown!U$13, 1)</f>
        <v>1</v>
      </c>
      <c r="G288" s="4">
        <f>ui!B$4</f>
        <v>2025</v>
      </c>
      <c r="H288" s="4">
        <f>ui!B$5</f>
        <v>2050</v>
      </c>
      <c r="I288" s="4" t="s">
        <v>93</v>
      </c>
      <c r="J288" s="4" t="str">
        <f>VLOOKUP(ui!B$2,dropdown!M:O,3,FALSE)</f>
        <v>LIC</v>
      </c>
      <c r="K288" s="4"/>
      <c r="L288" s="4"/>
      <c r="M288" s="4"/>
      <c r="N288" s="4">
        <v>1</v>
      </c>
      <c r="O288" s="4"/>
      <c r="P288" s="4"/>
      <c r="Q288" s="4"/>
      <c r="R288" s="4">
        <v>1</v>
      </c>
      <c r="S288" s="4"/>
      <c r="T288" s="4"/>
      <c r="U288" s="4"/>
      <c r="V288" s="4"/>
      <c r="W288" s="4"/>
      <c r="X288" s="4"/>
      <c r="Y288" s="4"/>
      <c r="Z288" s="4"/>
      <c r="AA288" t="b">
        <f>VLOOKUP(all_inputs!E288,ui!A$29:B$33,2,FALSE)</f>
        <v>0</v>
      </c>
    </row>
    <row r="289" spans="1:27" hidden="1" x14ac:dyDescent="0.25">
      <c r="A289" s="2" t="s">
        <v>33</v>
      </c>
      <c r="B289" s="2">
        <f>IF(COUNTIF(dropdown!B$2:B$12,all_inputs!A289)=1,1,IF(COUNTIF(dropdown!C$2:C$4,all_inputs!A289)=1,2,IF(COUNTIF(dropdown!D$2:D$3,all_inputs!A289)=1,3,"?")))</f>
        <v>1</v>
      </c>
      <c r="C289" s="2" t="s">
        <v>18</v>
      </c>
      <c r="D289" s="2" t="s">
        <v>469</v>
      </c>
      <c r="E289" s="2" t="s">
        <v>462</v>
      </c>
      <c r="F289" s="2">
        <f>IF(AND(all_inputs!E289=dropdown!Z$8, COUNTIF(dropdown!Z$9:Z$19,all_inputs!A289)=1), dropdown!U$14, 1)</f>
        <v>1</v>
      </c>
      <c r="G289" s="5">
        <f>ui!B$4</f>
        <v>2025</v>
      </c>
      <c r="H289" s="5">
        <f>ui!B$5</f>
        <v>2050</v>
      </c>
      <c r="I289" s="5" t="s">
        <v>93</v>
      </c>
      <c r="J289" s="5" t="str">
        <f>VLOOKUP(ui!B$2,dropdown!M:O,3,FALSE)</f>
        <v>LIC</v>
      </c>
      <c r="K289" s="5"/>
      <c r="L289" s="5"/>
      <c r="M289" s="5"/>
      <c r="N289" s="5">
        <v>1</v>
      </c>
      <c r="O289" s="5"/>
      <c r="P289" s="5"/>
      <c r="Q289" s="5"/>
      <c r="R289" s="5">
        <v>1</v>
      </c>
      <c r="S289" s="5"/>
      <c r="T289" s="5"/>
      <c r="U289" s="5"/>
      <c r="V289" s="5"/>
      <c r="W289" s="5"/>
      <c r="X289" s="5"/>
      <c r="Y289" s="5"/>
      <c r="Z289" s="5"/>
      <c r="AA289" s="2" t="b">
        <f>VLOOKUP(all_inputs!E289,ui!A$29:B$33,2,FALSE)</f>
        <v>0</v>
      </c>
    </row>
    <row r="290" spans="1:27" hidden="1" x14ac:dyDescent="0.25">
      <c r="A290" t="s">
        <v>12</v>
      </c>
      <c r="B290">
        <f>IF(COUNTIF(dropdown!B$2:B$12,all_inputs!A290)=1,1,IF(COUNTIF(dropdown!C$2:C$4,all_inputs!A290)=1,2,IF(COUNTIF(dropdown!D$2:D$3,all_inputs!A290)=1,3,"?")))</f>
        <v>1</v>
      </c>
      <c r="C290" t="s">
        <v>13</v>
      </c>
      <c r="D290" t="s">
        <v>472</v>
      </c>
      <c r="E290" t="s">
        <v>463</v>
      </c>
      <c r="F290" s="4">
        <f>IF(AND(all_inputs!E290=dropdown!AA$8, COUNTIF(dropdown!AA$9:AA$19,all_inputs!A290)=1), dropdown!V$9, 1)</f>
        <v>1</v>
      </c>
      <c r="G290" s="4">
        <f>ui!B$4</f>
        <v>2025</v>
      </c>
      <c r="H290" s="4">
        <f>ui!B$5</f>
        <v>2050</v>
      </c>
      <c r="I290" s="4" t="s">
        <v>93</v>
      </c>
      <c r="J290" s="4" t="str">
        <f>VLOOKUP(ui!B$2,dropdown!M:O,3,FALSE)</f>
        <v>LIC</v>
      </c>
      <c r="K290" s="4"/>
      <c r="L290" s="4"/>
      <c r="M290" s="4"/>
      <c r="N290" s="4">
        <v>1</v>
      </c>
      <c r="O290" s="4"/>
      <c r="P290" s="4"/>
      <c r="Q290" s="4"/>
      <c r="R290" s="4">
        <v>1</v>
      </c>
      <c r="S290" s="4"/>
      <c r="T290" s="4"/>
      <c r="U290" s="4"/>
      <c r="V290" s="4"/>
      <c r="W290" s="4"/>
      <c r="X290" s="4"/>
      <c r="Y290" s="4"/>
      <c r="Z290" s="4"/>
      <c r="AA290" t="b">
        <f>VLOOKUP(all_inputs!E290,ui!A$29:B$33,2,FALSE)</f>
        <v>0</v>
      </c>
    </row>
    <row r="291" spans="1:27" hidden="1" x14ac:dyDescent="0.25">
      <c r="A291" t="s">
        <v>12</v>
      </c>
      <c r="B291">
        <f>IF(COUNTIF(dropdown!B$2:B$12,all_inputs!A291)=1,1,IF(COUNTIF(dropdown!C$2:C$4,all_inputs!A291)=1,2,IF(COUNTIF(dropdown!D$2:D$3,all_inputs!A291)=1,3,"?")))</f>
        <v>1</v>
      </c>
      <c r="C291" t="s">
        <v>14</v>
      </c>
      <c r="D291" t="s">
        <v>466</v>
      </c>
      <c r="E291" t="s">
        <v>463</v>
      </c>
      <c r="F291">
        <f>IF(AND(all_inputs!E291=dropdown!AA$8, COUNTIF(dropdown!AA$9:AA$19,all_inputs!A291)=1), dropdown!V$10, 1)</f>
        <v>1</v>
      </c>
      <c r="G291" s="4">
        <f>ui!B$4</f>
        <v>2025</v>
      </c>
      <c r="H291" s="4">
        <f>ui!B$5</f>
        <v>2050</v>
      </c>
      <c r="I291" s="4" t="s">
        <v>93</v>
      </c>
      <c r="J291" s="4" t="str">
        <f>VLOOKUP(ui!B$2,dropdown!M:O,3,FALSE)</f>
        <v>LIC</v>
      </c>
      <c r="K291" s="4"/>
      <c r="L291" s="4"/>
      <c r="M291" s="4"/>
      <c r="N291" s="4">
        <v>1</v>
      </c>
      <c r="O291" s="4"/>
      <c r="P291" s="4"/>
      <c r="Q291" s="4"/>
      <c r="R291" s="4">
        <v>1</v>
      </c>
      <c r="S291" s="4"/>
      <c r="T291" s="4"/>
      <c r="U291" s="4"/>
      <c r="V291" s="4"/>
      <c r="W291" s="4"/>
      <c r="X291" s="4"/>
      <c r="Y291" s="4"/>
      <c r="Z291" s="4"/>
      <c r="AA291" t="b">
        <f>VLOOKUP(all_inputs!E291,ui!A$29:B$33,2,FALSE)</f>
        <v>0</v>
      </c>
    </row>
    <row r="292" spans="1:27" hidden="1" x14ac:dyDescent="0.25">
      <c r="A292" t="s">
        <v>12</v>
      </c>
      <c r="B292">
        <f>IF(COUNTIF(dropdown!B$2:B$12,all_inputs!A292)=1,1,IF(COUNTIF(dropdown!C$2:C$4,all_inputs!A292)=1,2,IF(COUNTIF(dropdown!D$2:D$3,all_inputs!A292)=1,3,"?")))</f>
        <v>1</v>
      </c>
      <c r="C292" t="s">
        <v>15</v>
      </c>
      <c r="D292" t="s">
        <v>466</v>
      </c>
      <c r="E292" t="s">
        <v>463</v>
      </c>
      <c r="F292" s="4">
        <f>IF(AND(all_inputs!E292=dropdown!AA$8, COUNTIF(dropdown!AA$9:AA$19,all_inputs!A292)=1), dropdown!V$11, 1)</f>
        <v>1</v>
      </c>
      <c r="G292" s="4">
        <f>ui!B$4</f>
        <v>2025</v>
      </c>
      <c r="H292" s="4">
        <f>ui!B$5</f>
        <v>2050</v>
      </c>
      <c r="I292" s="4" t="s">
        <v>93</v>
      </c>
      <c r="J292" s="4" t="str">
        <f>VLOOKUP(ui!B$2,dropdown!M:O,3,FALSE)</f>
        <v>LIC</v>
      </c>
      <c r="K292" s="4"/>
      <c r="L292" s="4"/>
      <c r="M292" s="4"/>
      <c r="N292" s="4">
        <v>1</v>
      </c>
      <c r="O292" s="4"/>
      <c r="P292" s="4"/>
      <c r="Q292" s="4"/>
      <c r="R292" s="4">
        <v>1</v>
      </c>
      <c r="S292" s="4"/>
      <c r="T292" s="4"/>
      <c r="U292" s="4"/>
      <c r="V292" s="4"/>
      <c r="W292" s="4"/>
      <c r="X292" s="4"/>
      <c r="Y292" s="4"/>
      <c r="Z292" s="4"/>
      <c r="AA292" t="b">
        <f>VLOOKUP(all_inputs!E292,ui!A$29:B$33,2,FALSE)</f>
        <v>0</v>
      </c>
    </row>
    <row r="293" spans="1:27" hidden="1" x14ac:dyDescent="0.25">
      <c r="A293" t="s">
        <v>12</v>
      </c>
      <c r="B293">
        <f>IF(COUNTIF(dropdown!B$2:B$12,all_inputs!A293)=1,1,IF(COUNTIF(dropdown!C$2:C$4,all_inputs!A293)=1,2,IF(COUNTIF(dropdown!D$2:D$3,all_inputs!A293)=1,3,"?")))</f>
        <v>1</v>
      </c>
      <c r="C293" t="s">
        <v>16</v>
      </c>
      <c r="D293" t="s">
        <v>467</v>
      </c>
      <c r="E293" t="s">
        <v>463</v>
      </c>
      <c r="F293">
        <f>IF(AND(all_inputs!E293=dropdown!AA$8, COUNTIF(dropdown!AA$9:AA$19,all_inputs!A293)=1), dropdown!V$12, 1)</f>
        <v>1</v>
      </c>
      <c r="G293" s="4">
        <f>ui!B$4</f>
        <v>2025</v>
      </c>
      <c r="H293" s="4">
        <f>ui!B$5</f>
        <v>2050</v>
      </c>
      <c r="I293" s="4" t="s">
        <v>93</v>
      </c>
      <c r="J293" s="4" t="str">
        <f>VLOOKUP(ui!B$2,dropdown!M:O,3,FALSE)</f>
        <v>LIC</v>
      </c>
      <c r="K293" s="4"/>
      <c r="L293" s="4"/>
      <c r="M293" s="4"/>
      <c r="N293" s="4">
        <v>1</v>
      </c>
      <c r="O293" s="4"/>
      <c r="P293" s="4"/>
      <c r="Q293" s="4"/>
      <c r="R293" s="4">
        <v>1</v>
      </c>
      <c r="S293" s="4"/>
      <c r="T293" s="4"/>
      <c r="U293" s="4"/>
      <c r="V293" s="4"/>
      <c r="W293" s="4"/>
      <c r="X293" s="4"/>
      <c r="Y293" s="4"/>
      <c r="Z293" s="4"/>
      <c r="AA293" t="b">
        <f>VLOOKUP(all_inputs!E293,ui!A$29:B$33,2,FALSE)</f>
        <v>0</v>
      </c>
    </row>
    <row r="294" spans="1:27" hidden="1" x14ac:dyDescent="0.25">
      <c r="A294" t="s">
        <v>12</v>
      </c>
      <c r="B294">
        <f>IF(COUNTIF(dropdown!B$2:B$12,all_inputs!A294)=1,1,IF(COUNTIF(dropdown!C$2:C$4,all_inputs!A294)=1,2,IF(COUNTIF(dropdown!D$2:D$3,all_inputs!A294)=1,3,"?")))</f>
        <v>1</v>
      </c>
      <c r="C294" t="s">
        <v>17</v>
      </c>
      <c r="D294" t="s">
        <v>468</v>
      </c>
      <c r="E294" t="s">
        <v>463</v>
      </c>
      <c r="F294">
        <f>IF(AND(all_inputs!E294=dropdown!AA$8, COUNTIF(dropdown!AA$9:AA$19,all_inputs!A294)=1), dropdown!V$13, 1)</f>
        <v>1</v>
      </c>
      <c r="G294" s="4">
        <f>ui!B$4</f>
        <v>2025</v>
      </c>
      <c r="H294" s="4">
        <f>ui!B$5</f>
        <v>2050</v>
      </c>
      <c r="I294" s="4" t="s">
        <v>93</v>
      </c>
      <c r="J294" s="4" t="str">
        <f>VLOOKUP(ui!B$2,dropdown!M:O,3,FALSE)</f>
        <v>LIC</v>
      </c>
      <c r="K294" s="4"/>
      <c r="L294" s="4"/>
      <c r="M294" s="4"/>
      <c r="N294" s="4">
        <v>1</v>
      </c>
      <c r="O294" s="4"/>
      <c r="P294" s="4"/>
      <c r="Q294" s="4"/>
      <c r="R294" s="4">
        <v>1</v>
      </c>
      <c r="S294" s="4"/>
      <c r="T294" s="4"/>
      <c r="U294" s="4"/>
      <c r="V294" s="4"/>
      <c r="W294" s="4"/>
      <c r="X294" s="4"/>
      <c r="Y294" s="4"/>
      <c r="Z294" s="4"/>
      <c r="AA294" t="b">
        <f>VLOOKUP(all_inputs!E294,ui!A$29:B$33,2,FALSE)</f>
        <v>0</v>
      </c>
    </row>
    <row r="295" spans="1:27" hidden="1" x14ac:dyDescent="0.25">
      <c r="A295" s="2" t="s">
        <v>12</v>
      </c>
      <c r="B295" s="2">
        <f>IF(COUNTIF(dropdown!B$2:B$12,all_inputs!A295)=1,1,IF(COUNTIF(dropdown!C$2:C$4,all_inputs!A295)=1,2,IF(COUNTIF(dropdown!D$2:D$3,all_inputs!A295)=1,3,"?")))</f>
        <v>1</v>
      </c>
      <c r="C295" s="2" t="s">
        <v>18</v>
      </c>
      <c r="D295" s="2" t="s">
        <v>469</v>
      </c>
      <c r="E295" s="2" t="s">
        <v>463</v>
      </c>
      <c r="F295" s="2">
        <f>IF(AND(all_inputs!E295=dropdown!AA$8, COUNTIF(dropdown!AA$9:AA$19,all_inputs!A295)=1), dropdown!V$14, 1)</f>
        <v>1</v>
      </c>
      <c r="G295" s="5">
        <f>ui!B$4</f>
        <v>2025</v>
      </c>
      <c r="H295" s="5">
        <f>ui!B$5</f>
        <v>2050</v>
      </c>
      <c r="I295" s="5" t="s">
        <v>93</v>
      </c>
      <c r="J295" s="5" t="str">
        <f>VLOOKUP(ui!B$2,dropdown!M:O,3,FALSE)</f>
        <v>LIC</v>
      </c>
      <c r="K295" s="5"/>
      <c r="L295" s="5"/>
      <c r="M295" s="5"/>
      <c r="N295" s="5">
        <v>1</v>
      </c>
      <c r="O295" s="5"/>
      <c r="P295" s="5"/>
      <c r="Q295" s="5"/>
      <c r="R295" s="5">
        <v>1</v>
      </c>
      <c r="S295" s="5"/>
      <c r="T295" s="5"/>
      <c r="U295" s="5"/>
      <c r="V295" s="5"/>
      <c r="W295" s="5"/>
      <c r="X295" s="5"/>
      <c r="Y295" s="5"/>
      <c r="Z295" s="5"/>
      <c r="AA295" s="2" t="b">
        <f>VLOOKUP(all_inputs!E295,ui!A$29:B$33,2,FALSE)</f>
        <v>0</v>
      </c>
    </row>
    <row r="296" spans="1:27" hidden="1" x14ac:dyDescent="0.25">
      <c r="A296" t="s">
        <v>19</v>
      </c>
      <c r="B296">
        <f>IF(COUNTIF(dropdown!B$2:B$12,all_inputs!A296)=1,1,IF(COUNTIF(dropdown!C$2:C$4,all_inputs!A296)=1,2,IF(COUNTIF(dropdown!D$2:D$3,all_inputs!A296)=1,3,"?")))</f>
        <v>2</v>
      </c>
      <c r="C296" t="s">
        <v>13</v>
      </c>
      <c r="D296" t="s">
        <v>472</v>
      </c>
      <c r="E296" t="s">
        <v>463</v>
      </c>
      <c r="F296">
        <f>IF(AND(all_inputs!E296=dropdown!AA$8, COUNTIF(dropdown!AA$9:AA$19,all_inputs!A296)=1), dropdown!V$9, 1)</f>
        <v>1</v>
      </c>
      <c r="G296" s="4">
        <f>ui!B$4</f>
        <v>2025</v>
      </c>
      <c r="H296" s="4">
        <f>ui!B$5</f>
        <v>2050</v>
      </c>
      <c r="I296" s="4" t="s">
        <v>93</v>
      </c>
      <c r="J296" s="4" t="str">
        <f>VLOOKUP(ui!B$2,dropdown!M:O,3,FALSE)</f>
        <v>LIC</v>
      </c>
      <c r="K296" s="4"/>
      <c r="L296" s="4"/>
      <c r="M296" s="4"/>
      <c r="N296" s="4">
        <v>1</v>
      </c>
      <c r="O296" s="4"/>
      <c r="P296" s="4"/>
      <c r="Q296" s="4"/>
      <c r="R296" s="4">
        <v>1</v>
      </c>
      <c r="S296" s="4"/>
      <c r="T296" s="4"/>
      <c r="U296" s="4"/>
      <c r="V296" s="4"/>
      <c r="W296" s="4"/>
      <c r="X296" s="4"/>
      <c r="Y296" s="4"/>
      <c r="Z296" s="4"/>
      <c r="AA296" t="b">
        <f>VLOOKUP(all_inputs!E296,ui!A$29:B$33,2,FALSE)</f>
        <v>0</v>
      </c>
    </row>
    <row r="297" spans="1:27" hidden="1" x14ac:dyDescent="0.25">
      <c r="A297" t="s">
        <v>19</v>
      </c>
      <c r="B297">
        <f>IF(COUNTIF(dropdown!B$2:B$12,all_inputs!A297)=1,1,IF(COUNTIF(dropdown!C$2:C$4,all_inputs!A297)=1,2,IF(COUNTIF(dropdown!D$2:D$3,all_inputs!A297)=1,3,"?")))</f>
        <v>2</v>
      </c>
      <c r="C297" t="s">
        <v>14</v>
      </c>
      <c r="D297" t="s">
        <v>466</v>
      </c>
      <c r="E297" t="s">
        <v>463</v>
      </c>
      <c r="F297" s="4">
        <v>1</v>
      </c>
      <c r="G297" s="4">
        <f>ui!B$4</f>
        <v>2025</v>
      </c>
      <c r="H297" s="4">
        <f>ui!B$5</f>
        <v>2050</v>
      </c>
      <c r="I297" s="4" t="s">
        <v>93</v>
      </c>
      <c r="J297" s="4" t="str">
        <f>VLOOKUP(ui!B$2,dropdown!M:O,3,FALSE)</f>
        <v>LIC</v>
      </c>
      <c r="K297" s="4"/>
      <c r="L297" s="4"/>
      <c r="M297" s="4"/>
      <c r="N297" s="4">
        <v>1</v>
      </c>
      <c r="O297" s="4"/>
      <c r="P297" s="4"/>
      <c r="Q297" s="4"/>
      <c r="R297" s="4">
        <v>1</v>
      </c>
      <c r="S297" s="4"/>
      <c r="T297" s="4"/>
      <c r="U297" s="4"/>
      <c r="V297" s="4"/>
      <c r="W297" s="4"/>
      <c r="X297" s="4"/>
      <c r="Y297" s="4"/>
      <c r="Z297" s="4"/>
      <c r="AA297" t="b">
        <f>VLOOKUP(all_inputs!E297,ui!A$29:B$33,2,FALSE)</f>
        <v>0</v>
      </c>
    </row>
    <row r="298" spans="1:27" hidden="1" x14ac:dyDescent="0.25">
      <c r="A298" t="s">
        <v>19</v>
      </c>
      <c r="B298">
        <f>IF(COUNTIF(dropdown!B$2:B$12,all_inputs!A298)=1,1,IF(COUNTIF(dropdown!C$2:C$4,all_inputs!A298)=1,2,IF(COUNTIF(dropdown!D$2:D$3,all_inputs!A298)=1,3,"?")))</f>
        <v>2</v>
      </c>
      <c r="C298" t="s">
        <v>15</v>
      </c>
      <c r="D298" t="s">
        <v>466</v>
      </c>
      <c r="E298" t="s">
        <v>463</v>
      </c>
      <c r="F298">
        <f>IF(AND(all_inputs!E298=dropdown!AA$8, COUNTIF(dropdown!AA$9:AA$19,all_inputs!A298)=1), dropdown!V$11, 1)</f>
        <v>1</v>
      </c>
      <c r="G298" s="4">
        <f>ui!B$4</f>
        <v>2025</v>
      </c>
      <c r="H298" s="4">
        <f>ui!B$5</f>
        <v>2050</v>
      </c>
      <c r="I298" s="4" t="s">
        <v>93</v>
      </c>
      <c r="J298" s="4" t="str">
        <f>VLOOKUP(ui!B$2,dropdown!M:O,3,FALSE)</f>
        <v>LIC</v>
      </c>
      <c r="K298" s="4"/>
      <c r="L298" s="4"/>
      <c r="M298" s="4"/>
      <c r="N298" s="4">
        <v>1</v>
      </c>
      <c r="O298" s="4"/>
      <c r="P298" s="4"/>
      <c r="Q298" s="4"/>
      <c r="R298" s="4">
        <v>1</v>
      </c>
      <c r="S298" s="4"/>
      <c r="T298" s="4"/>
      <c r="U298" s="4"/>
      <c r="V298" s="4"/>
      <c r="W298" s="4"/>
      <c r="X298" s="4"/>
      <c r="Y298" s="4"/>
      <c r="Z298" s="4"/>
      <c r="AA298" t="b">
        <f>VLOOKUP(all_inputs!E298,ui!A$29:B$33,2,FALSE)</f>
        <v>0</v>
      </c>
    </row>
    <row r="299" spans="1:27" hidden="1" x14ac:dyDescent="0.25">
      <c r="A299" t="s">
        <v>19</v>
      </c>
      <c r="B299">
        <f>IF(COUNTIF(dropdown!B$2:B$12,all_inputs!A299)=1,1,IF(COUNTIF(dropdown!C$2:C$4,all_inputs!A299)=1,2,IF(COUNTIF(dropdown!D$2:D$3,all_inputs!A299)=1,3,"?")))</f>
        <v>2</v>
      </c>
      <c r="C299" t="s">
        <v>16</v>
      </c>
      <c r="D299" t="s">
        <v>467</v>
      </c>
      <c r="E299" t="s">
        <v>463</v>
      </c>
      <c r="F299">
        <f>IF(AND(all_inputs!E299=dropdown!AA$8, COUNTIF(dropdown!AA$9:AA$19,all_inputs!A299)=1), dropdown!V$12, 1)</f>
        <v>1</v>
      </c>
      <c r="G299" s="4">
        <f>ui!B$4</f>
        <v>2025</v>
      </c>
      <c r="H299" s="4">
        <f>ui!B$5</f>
        <v>2050</v>
      </c>
      <c r="I299" s="4" t="s">
        <v>93</v>
      </c>
      <c r="J299" s="4" t="str">
        <f>VLOOKUP(ui!B$2,dropdown!M:O,3,FALSE)</f>
        <v>LIC</v>
      </c>
      <c r="K299" s="4"/>
      <c r="L299" s="4"/>
      <c r="M299" s="4"/>
      <c r="N299" s="4">
        <v>1</v>
      </c>
      <c r="O299" s="4"/>
      <c r="P299" s="4"/>
      <c r="Q299" s="4"/>
      <c r="R299" s="4">
        <v>1</v>
      </c>
      <c r="S299" s="4"/>
      <c r="T299" s="4"/>
      <c r="U299" s="4"/>
      <c r="V299" s="4"/>
      <c r="W299" s="4"/>
      <c r="X299" s="4"/>
      <c r="Y299" s="4"/>
      <c r="Z299" s="4"/>
      <c r="AA299" t="b">
        <f>VLOOKUP(all_inputs!E299,ui!A$29:B$33,2,FALSE)</f>
        <v>0</v>
      </c>
    </row>
    <row r="300" spans="1:27" hidden="1" x14ac:dyDescent="0.25">
      <c r="A300" t="s">
        <v>19</v>
      </c>
      <c r="B300">
        <f>IF(COUNTIF(dropdown!B$2:B$12,all_inputs!A300)=1,1,IF(COUNTIF(dropdown!C$2:C$4,all_inputs!A300)=1,2,IF(COUNTIF(dropdown!D$2:D$3,all_inputs!A300)=1,3,"?")))</f>
        <v>2</v>
      </c>
      <c r="C300" t="s">
        <v>17</v>
      </c>
      <c r="D300" t="s">
        <v>468</v>
      </c>
      <c r="E300" t="s">
        <v>463</v>
      </c>
      <c r="F300">
        <f>IF(AND(all_inputs!E300=dropdown!AA$8, COUNTIF(dropdown!AA$9:AA$19,all_inputs!A300)=1), dropdown!V$13, 1)</f>
        <v>1</v>
      </c>
      <c r="G300" s="4">
        <f>ui!B$4</f>
        <v>2025</v>
      </c>
      <c r="H300" s="4">
        <f>ui!B$5</f>
        <v>2050</v>
      </c>
      <c r="I300" s="4" t="s">
        <v>93</v>
      </c>
      <c r="J300" s="4" t="str">
        <f>VLOOKUP(ui!B$2,dropdown!M:O,3,FALSE)</f>
        <v>LIC</v>
      </c>
      <c r="K300" s="4"/>
      <c r="L300" s="4"/>
      <c r="M300" s="4"/>
      <c r="N300" s="4">
        <v>1</v>
      </c>
      <c r="O300" s="4"/>
      <c r="P300" s="4"/>
      <c r="Q300" s="4"/>
      <c r="R300" s="4">
        <v>1</v>
      </c>
      <c r="S300" s="4"/>
      <c r="T300" s="4"/>
      <c r="U300" s="4"/>
      <c r="V300" s="4"/>
      <c r="W300" s="4"/>
      <c r="X300" s="4"/>
      <c r="Y300" s="4"/>
      <c r="Z300" s="4"/>
      <c r="AA300" t="b">
        <f>VLOOKUP(all_inputs!E300,ui!A$29:B$33,2,FALSE)</f>
        <v>0</v>
      </c>
    </row>
    <row r="301" spans="1:27" hidden="1" x14ac:dyDescent="0.25">
      <c r="A301" s="2" t="s">
        <v>19</v>
      </c>
      <c r="B301" s="2">
        <f>IF(COUNTIF(dropdown!B$2:B$12,all_inputs!A301)=1,1,IF(COUNTIF(dropdown!C$2:C$4,all_inputs!A301)=1,2,IF(COUNTIF(dropdown!D$2:D$3,all_inputs!A301)=1,3,"?")))</f>
        <v>2</v>
      </c>
      <c r="C301" s="2" t="s">
        <v>18</v>
      </c>
      <c r="D301" s="2" t="s">
        <v>469</v>
      </c>
      <c r="E301" s="2" t="s">
        <v>463</v>
      </c>
      <c r="F301" s="2">
        <f>IF(AND(all_inputs!E301=dropdown!AA$8, COUNTIF(dropdown!AA$9:AA$19,all_inputs!A301)=1), dropdown!V$14, 1)</f>
        <v>1</v>
      </c>
      <c r="G301" s="5">
        <f>ui!B$4</f>
        <v>2025</v>
      </c>
      <c r="H301" s="5">
        <f>ui!B$5</f>
        <v>2050</v>
      </c>
      <c r="I301" s="5" t="s">
        <v>93</v>
      </c>
      <c r="J301" s="5" t="str">
        <f>VLOOKUP(ui!B$2,dropdown!M:O,3,FALSE)</f>
        <v>LIC</v>
      </c>
      <c r="K301" s="5"/>
      <c r="L301" s="5"/>
      <c r="M301" s="5"/>
      <c r="N301" s="5">
        <v>1</v>
      </c>
      <c r="O301" s="5"/>
      <c r="P301" s="5"/>
      <c r="Q301" s="5"/>
      <c r="R301" s="5">
        <v>1</v>
      </c>
      <c r="S301" s="5"/>
      <c r="T301" s="5"/>
      <c r="U301" s="5"/>
      <c r="V301" s="5"/>
      <c r="W301" s="5"/>
      <c r="X301" s="5"/>
      <c r="Y301" s="5"/>
      <c r="Z301" s="5"/>
      <c r="AA301" s="2" t="b">
        <f>VLOOKUP(all_inputs!E301,ui!A$29:B$33,2,FALSE)</f>
        <v>0</v>
      </c>
    </row>
    <row r="302" spans="1:27" hidden="1" x14ac:dyDescent="0.25">
      <c r="A302" t="s">
        <v>20</v>
      </c>
      <c r="B302">
        <f>IF(COUNTIF(dropdown!B$2:B$12,all_inputs!A302)=1,1,IF(COUNTIF(dropdown!C$2:C$4,all_inputs!A302)=1,2,IF(COUNTIF(dropdown!D$2:D$3,all_inputs!A302)=1,3,"?")))</f>
        <v>3</v>
      </c>
      <c r="C302" t="s">
        <v>13</v>
      </c>
      <c r="D302" t="s">
        <v>472</v>
      </c>
      <c r="E302" t="s">
        <v>463</v>
      </c>
      <c r="F302">
        <f>IF(AND(all_inputs!E302=dropdown!AA$8, COUNTIF(dropdown!AA$9:AA$19,all_inputs!A302)=1), dropdown!V$9, 1)</f>
        <v>1</v>
      </c>
      <c r="G302" s="4">
        <f>ui!B$4</f>
        <v>2025</v>
      </c>
      <c r="H302" s="4">
        <f>ui!B$5</f>
        <v>2050</v>
      </c>
      <c r="I302" s="4" t="s">
        <v>93</v>
      </c>
      <c r="J302" s="4" t="str">
        <f>VLOOKUP(ui!B$2,dropdown!M:O,3,FALSE)</f>
        <v>LIC</v>
      </c>
      <c r="K302" s="4"/>
      <c r="L302" s="4"/>
      <c r="M302" s="4"/>
      <c r="N302" s="4">
        <v>1</v>
      </c>
      <c r="O302" s="4"/>
      <c r="P302" s="4"/>
      <c r="Q302" s="4"/>
      <c r="R302" s="4">
        <v>1</v>
      </c>
      <c r="S302" s="4"/>
      <c r="T302" s="4"/>
      <c r="U302" s="4"/>
      <c r="V302" s="4"/>
      <c r="W302" s="4"/>
      <c r="X302" s="4"/>
      <c r="Y302" s="4"/>
      <c r="Z302" s="4"/>
      <c r="AA302" t="b">
        <f>VLOOKUP(all_inputs!E302,ui!A$29:B$33,2,FALSE)</f>
        <v>0</v>
      </c>
    </row>
    <row r="303" spans="1:27" hidden="1" x14ac:dyDescent="0.25">
      <c r="A303" t="s">
        <v>20</v>
      </c>
      <c r="B303">
        <f>IF(COUNTIF(dropdown!B$2:B$12,all_inputs!A303)=1,1,IF(COUNTIF(dropdown!C$2:C$4,all_inputs!A303)=1,2,IF(COUNTIF(dropdown!D$2:D$3,all_inputs!A303)=1,3,"?")))</f>
        <v>3</v>
      </c>
      <c r="C303" t="s">
        <v>14</v>
      </c>
      <c r="D303" t="s">
        <v>466</v>
      </c>
      <c r="E303" t="s">
        <v>463</v>
      </c>
      <c r="F303" s="4">
        <f>IF(AND(all_inputs!E303=dropdown!AA$8, COUNTIF(dropdown!AA$9:AA$19,all_inputs!A303)=1), dropdown!V$10, 1)</f>
        <v>1</v>
      </c>
      <c r="G303" s="4">
        <f>ui!B$4</f>
        <v>2025</v>
      </c>
      <c r="H303" s="4">
        <f>ui!B$5</f>
        <v>2050</v>
      </c>
      <c r="I303" s="4" t="s">
        <v>93</v>
      </c>
      <c r="J303" s="4" t="str">
        <f>VLOOKUP(ui!B$2,dropdown!M:O,3,FALSE)</f>
        <v>LIC</v>
      </c>
      <c r="K303" s="4"/>
      <c r="L303" s="4"/>
      <c r="M303" s="4"/>
      <c r="N303" s="4">
        <v>1</v>
      </c>
      <c r="O303" s="4"/>
      <c r="P303" s="4"/>
      <c r="Q303" s="4"/>
      <c r="R303" s="4">
        <v>1</v>
      </c>
      <c r="S303" s="4"/>
      <c r="T303" s="4"/>
      <c r="U303" s="4"/>
      <c r="V303" s="4"/>
      <c r="W303" s="4"/>
      <c r="X303" s="4"/>
      <c r="Y303" s="4"/>
      <c r="Z303" s="4"/>
      <c r="AA303" t="b">
        <f>VLOOKUP(all_inputs!E303,ui!A$29:B$33,2,FALSE)</f>
        <v>0</v>
      </c>
    </row>
    <row r="304" spans="1:27" hidden="1" x14ac:dyDescent="0.25">
      <c r="A304" t="s">
        <v>20</v>
      </c>
      <c r="B304">
        <f>IF(COUNTIF(dropdown!B$2:B$12,all_inputs!A304)=1,1,IF(COUNTIF(dropdown!C$2:C$4,all_inputs!A304)=1,2,IF(COUNTIF(dropdown!D$2:D$3,all_inputs!A304)=1,3,"?")))</f>
        <v>3</v>
      </c>
      <c r="C304" t="s">
        <v>15</v>
      </c>
      <c r="D304" t="s">
        <v>466</v>
      </c>
      <c r="E304" t="s">
        <v>463</v>
      </c>
      <c r="F304">
        <f>IF(AND(all_inputs!E304=dropdown!AA$8, COUNTIF(dropdown!AA$9:AA$19,all_inputs!A304)=1), dropdown!V$11, 1)</f>
        <v>1</v>
      </c>
      <c r="G304" s="4">
        <f>ui!B$4</f>
        <v>2025</v>
      </c>
      <c r="H304" s="4">
        <f>ui!B$5</f>
        <v>2050</v>
      </c>
      <c r="I304" s="4" t="s">
        <v>93</v>
      </c>
      <c r="J304" s="4" t="str">
        <f>VLOOKUP(ui!B$2,dropdown!M:O,3,FALSE)</f>
        <v>LIC</v>
      </c>
      <c r="K304" s="4"/>
      <c r="L304" s="4"/>
      <c r="M304" s="4"/>
      <c r="N304" s="4">
        <v>1</v>
      </c>
      <c r="O304" s="4"/>
      <c r="P304" s="4"/>
      <c r="Q304" s="4"/>
      <c r="R304" s="4">
        <v>1</v>
      </c>
      <c r="S304" s="4"/>
      <c r="T304" s="4"/>
      <c r="U304" s="4"/>
      <c r="V304" s="4"/>
      <c r="W304" s="4"/>
      <c r="X304" s="4"/>
      <c r="Y304" s="4"/>
      <c r="Z304" s="4"/>
      <c r="AA304" t="b">
        <f>VLOOKUP(all_inputs!E304,ui!A$29:B$33,2,FALSE)</f>
        <v>0</v>
      </c>
    </row>
    <row r="305" spans="1:27" hidden="1" x14ac:dyDescent="0.25">
      <c r="A305" t="s">
        <v>20</v>
      </c>
      <c r="B305">
        <f>IF(COUNTIF(dropdown!B$2:B$12,all_inputs!A305)=1,1,IF(COUNTIF(dropdown!C$2:C$4,all_inputs!A305)=1,2,IF(COUNTIF(dropdown!D$2:D$3,all_inputs!A305)=1,3,"?")))</f>
        <v>3</v>
      </c>
      <c r="C305" t="s">
        <v>16</v>
      </c>
      <c r="D305" t="s">
        <v>467</v>
      </c>
      <c r="E305" t="s">
        <v>463</v>
      </c>
      <c r="F305">
        <f>IF(AND(all_inputs!E305=dropdown!AA$8, COUNTIF(dropdown!AA$9:AA$19,all_inputs!A305)=1), dropdown!V$12, 1)</f>
        <v>1</v>
      </c>
      <c r="G305" s="4">
        <f>ui!B$4</f>
        <v>2025</v>
      </c>
      <c r="H305" s="4">
        <f>ui!B$5</f>
        <v>2050</v>
      </c>
      <c r="I305" s="4" t="s">
        <v>93</v>
      </c>
      <c r="J305" s="4" t="str">
        <f>VLOOKUP(ui!B$2,dropdown!M:O,3,FALSE)</f>
        <v>LIC</v>
      </c>
      <c r="K305" s="4"/>
      <c r="L305" s="4"/>
      <c r="M305" s="4"/>
      <c r="N305" s="4">
        <v>1</v>
      </c>
      <c r="O305" s="4"/>
      <c r="P305" s="4"/>
      <c r="Q305" s="4"/>
      <c r="R305" s="4">
        <v>1</v>
      </c>
      <c r="S305" s="4"/>
      <c r="T305" s="4"/>
      <c r="U305" s="4"/>
      <c r="V305" s="4"/>
      <c r="W305" s="4"/>
      <c r="X305" s="4"/>
      <c r="Y305" s="4"/>
      <c r="Z305" s="4"/>
      <c r="AA305" t="b">
        <f>VLOOKUP(all_inputs!E305,ui!A$29:B$33,2,FALSE)</f>
        <v>0</v>
      </c>
    </row>
    <row r="306" spans="1:27" hidden="1" x14ac:dyDescent="0.25">
      <c r="A306" t="s">
        <v>20</v>
      </c>
      <c r="B306">
        <f>IF(COUNTIF(dropdown!B$2:B$12,all_inputs!A306)=1,1,IF(COUNTIF(dropdown!C$2:C$4,all_inputs!A306)=1,2,IF(COUNTIF(dropdown!D$2:D$3,all_inputs!A306)=1,3,"?")))</f>
        <v>3</v>
      </c>
      <c r="C306" t="s">
        <v>17</v>
      </c>
      <c r="D306" t="s">
        <v>468</v>
      </c>
      <c r="E306" t="s">
        <v>463</v>
      </c>
      <c r="F306">
        <f>IF(AND(all_inputs!E306=dropdown!AA$8, COUNTIF(dropdown!AA$9:AA$19,all_inputs!A306)=1), dropdown!V$13, 1)</f>
        <v>1</v>
      </c>
      <c r="G306" s="4">
        <f>ui!B$4</f>
        <v>2025</v>
      </c>
      <c r="H306" s="4">
        <f>ui!B$5</f>
        <v>2050</v>
      </c>
      <c r="I306" s="4" t="s">
        <v>93</v>
      </c>
      <c r="J306" s="4" t="str">
        <f>VLOOKUP(ui!B$2,dropdown!M:O,3,FALSE)</f>
        <v>LIC</v>
      </c>
      <c r="K306" s="4"/>
      <c r="L306" s="4"/>
      <c r="M306" s="4"/>
      <c r="N306" s="4">
        <v>1</v>
      </c>
      <c r="O306" s="4"/>
      <c r="P306" s="4"/>
      <c r="Q306" s="4"/>
      <c r="R306" s="4">
        <v>1</v>
      </c>
      <c r="S306" s="4"/>
      <c r="T306" s="4"/>
      <c r="U306" s="4"/>
      <c r="V306" s="4"/>
      <c r="W306" s="4"/>
      <c r="X306" s="4"/>
      <c r="Y306" s="4"/>
      <c r="Z306" s="4"/>
      <c r="AA306" t="b">
        <f>VLOOKUP(all_inputs!E306,ui!A$29:B$33,2,FALSE)</f>
        <v>0</v>
      </c>
    </row>
    <row r="307" spans="1:27" hidden="1" x14ac:dyDescent="0.25">
      <c r="A307" s="2" t="s">
        <v>20</v>
      </c>
      <c r="B307" s="2">
        <f>IF(COUNTIF(dropdown!B$2:B$12,all_inputs!A307)=1,1,IF(COUNTIF(dropdown!C$2:C$4,all_inputs!A307)=1,2,IF(COUNTIF(dropdown!D$2:D$3,all_inputs!A307)=1,3,"?")))</f>
        <v>3</v>
      </c>
      <c r="C307" s="2" t="s">
        <v>18</v>
      </c>
      <c r="D307" s="2" t="s">
        <v>469</v>
      </c>
      <c r="E307" s="2" t="s">
        <v>463</v>
      </c>
      <c r="F307" s="2">
        <f>IF(AND(all_inputs!E307=dropdown!AA$8, COUNTIF(dropdown!AA$9:AA$19,all_inputs!A307)=1), dropdown!V$14, 1)</f>
        <v>1</v>
      </c>
      <c r="G307" s="5">
        <f>ui!B$4</f>
        <v>2025</v>
      </c>
      <c r="H307" s="5">
        <f>ui!B$5</f>
        <v>2050</v>
      </c>
      <c r="I307" s="5" t="s">
        <v>93</v>
      </c>
      <c r="J307" s="5" t="str">
        <f>VLOOKUP(ui!B$2,dropdown!M:O,3,FALSE)</f>
        <v>LIC</v>
      </c>
      <c r="K307" s="5"/>
      <c r="L307" s="5"/>
      <c r="M307" s="5"/>
      <c r="N307" s="5">
        <v>1</v>
      </c>
      <c r="O307" s="5"/>
      <c r="P307" s="5"/>
      <c r="Q307" s="5"/>
      <c r="R307" s="5">
        <v>1</v>
      </c>
      <c r="S307" s="5"/>
      <c r="T307" s="5"/>
      <c r="U307" s="5"/>
      <c r="V307" s="5"/>
      <c r="W307" s="5"/>
      <c r="X307" s="5"/>
      <c r="Y307" s="5"/>
      <c r="Z307" s="5"/>
      <c r="AA307" s="2" t="b">
        <f>VLOOKUP(all_inputs!E307,ui!A$29:B$33,2,FALSE)</f>
        <v>0</v>
      </c>
    </row>
    <row r="308" spans="1:27" hidden="1" x14ac:dyDescent="0.25">
      <c r="A308" t="s">
        <v>21</v>
      </c>
      <c r="B308">
        <f>IF(COUNTIF(dropdown!B$2:B$12,all_inputs!A308)=1,1,IF(COUNTIF(dropdown!C$2:C$4,all_inputs!A308)=1,2,IF(COUNTIF(dropdown!D$2:D$3,all_inputs!A308)=1,3,"?")))</f>
        <v>3</v>
      </c>
      <c r="C308" t="s">
        <v>13</v>
      </c>
      <c r="D308" t="s">
        <v>472</v>
      </c>
      <c r="E308" t="s">
        <v>463</v>
      </c>
      <c r="F308">
        <f>IF(AND(all_inputs!E308=dropdown!AA$8, COUNTIF(dropdown!AA$9:AA$19,all_inputs!A308)=1), dropdown!V$9, 1)</f>
        <v>1</v>
      </c>
      <c r="G308" s="4">
        <f>ui!B$4</f>
        <v>2025</v>
      </c>
      <c r="H308" s="4">
        <f>ui!B$5</f>
        <v>2050</v>
      </c>
      <c r="I308" s="4" t="s">
        <v>93</v>
      </c>
      <c r="J308" s="4" t="str">
        <f>VLOOKUP(ui!B$2,dropdown!M:O,3,FALSE)</f>
        <v>LIC</v>
      </c>
      <c r="K308" s="4"/>
      <c r="L308" s="4"/>
      <c r="M308" s="4"/>
      <c r="N308" s="4">
        <v>1</v>
      </c>
      <c r="O308" s="4"/>
      <c r="P308" s="4"/>
      <c r="Q308" s="4"/>
      <c r="R308" s="4">
        <v>1</v>
      </c>
      <c r="S308" s="4"/>
      <c r="T308" s="4"/>
      <c r="U308" s="4"/>
      <c r="V308" s="4"/>
      <c r="W308" s="4"/>
      <c r="X308" s="4"/>
      <c r="Y308" s="4"/>
      <c r="Z308" s="4"/>
      <c r="AA308" t="b">
        <f>VLOOKUP(all_inputs!E308,ui!A$29:B$33,2,FALSE)</f>
        <v>0</v>
      </c>
    </row>
    <row r="309" spans="1:27" hidden="1" x14ac:dyDescent="0.25">
      <c r="A309" t="s">
        <v>21</v>
      </c>
      <c r="B309">
        <f>IF(COUNTIF(dropdown!B$2:B$12,all_inputs!A309)=1,1,IF(COUNTIF(dropdown!C$2:C$4,all_inputs!A309)=1,2,IF(COUNTIF(dropdown!D$2:D$3,all_inputs!A309)=1,3,"?")))</f>
        <v>3</v>
      </c>
      <c r="C309" t="s">
        <v>14</v>
      </c>
      <c r="D309" t="s">
        <v>466</v>
      </c>
      <c r="E309" t="s">
        <v>463</v>
      </c>
      <c r="F309" s="4">
        <f>IF(AND(all_inputs!E309=dropdown!AA$8, COUNTIF(dropdown!AA$9:AA$19,all_inputs!A309)=1), dropdown!V$10, 1)</f>
        <v>1</v>
      </c>
      <c r="G309" s="4">
        <f>ui!B$4</f>
        <v>2025</v>
      </c>
      <c r="H309" s="4">
        <f>ui!B$5</f>
        <v>2050</v>
      </c>
      <c r="I309" s="4" t="s">
        <v>93</v>
      </c>
      <c r="J309" s="4" t="str">
        <f>VLOOKUP(ui!B$2,dropdown!M:O,3,FALSE)</f>
        <v>LIC</v>
      </c>
      <c r="K309" s="4"/>
      <c r="L309" s="4"/>
      <c r="M309" s="4"/>
      <c r="N309" s="4">
        <v>1</v>
      </c>
      <c r="O309" s="4"/>
      <c r="P309" s="4"/>
      <c r="Q309" s="4"/>
      <c r="R309" s="4">
        <v>1</v>
      </c>
      <c r="S309" s="4"/>
      <c r="T309" s="4"/>
      <c r="U309" s="4"/>
      <c r="V309" s="4"/>
      <c r="W309" s="4"/>
      <c r="X309" s="4"/>
      <c r="Y309" s="4"/>
      <c r="Z309" s="4"/>
      <c r="AA309" t="b">
        <f>VLOOKUP(all_inputs!E309,ui!A$29:B$33,2,FALSE)</f>
        <v>0</v>
      </c>
    </row>
    <row r="310" spans="1:27" hidden="1" x14ac:dyDescent="0.25">
      <c r="A310" t="s">
        <v>21</v>
      </c>
      <c r="B310">
        <f>IF(COUNTIF(dropdown!B$2:B$12,all_inputs!A310)=1,1,IF(COUNTIF(dropdown!C$2:C$4,all_inputs!A310)=1,2,IF(COUNTIF(dropdown!D$2:D$3,all_inputs!A310)=1,3,"?")))</f>
        <v>3</v>
      </c>
      <c r="C310" t="s">
        <v>15</v>
      </c>
      <c r="D310" t="s">
        <v>466</v>
      </c>
      <c r="E310" t="s">
        <v>463</v>
      </c>
      <c r="F310">
        <f>IF(AND(all_inputs!E310=dropdown!AA$8, COUNTIF(dropdown!AA$9:AA$19,all_inputs!A310)=1), dropdown!V$11, 1)</f>
        <v>1</v>
      </c>
      <c r="G310" s="4">
        <f>ui!B$4</f>
        <v>2025</v>
      </c>
      <c r="H310" s="4">
        <f>ui!B$5</f>
        <v>2050</v>
      </c>
      <c r="I310" s="4" t="s">
        <v>93</v>
      </c>
      <c r="J310" s="4" t="str">
        <f>VLOOKUP(ui!B$2,dropdown!M:O,3,FALSE)</f>
        <v>LIC</v>
      </c>
      <c r="K310" s="4"/>
      <c r="L310" s="4"/>
      <c r="M310" s="4"/>
      <c r="N310" s="4">
        <v>1</v>
      </c>
      <c r="O310" s="4"/>
      <c r="P310" s="4"/>
      <c r="Q310" s="4"/>
      <c r="R310" s="4">
        <v>1</v>
      </c>
      <c r="S310" s="4"/>
      <c r="T310" s="4"/>
      <c r="U310" s="4"/>
      <c r="V310" s="4"/>
      <c r="W310" s="4"/>
      <c r="X310" s="4"/>
      <c r="Y310" s="4"/>
      <c r="Z310" s="4"/>
      <c r="AA310" t="b">
        <f>VLOOKUP(all_inputs!E310,ui!A$29:B$33,2,FALSE)</f>
        <v>0</v>
      </c>
    </row>
    <row r="311" spans="1:27" hidden="1" x14ac:dyDescent="0.25">
      <c r="A311" t="s">
        <v>21</v>
      </c>
      <c r="B311">
        <f>IF(COUNTIF(dropdown!B$2:B$12,all_inputs!A311)=1,1,IF(COUNTIF(dropdown!C$2:C$4,all_inputs!A311)=1,2,IF(COUNTIF(dropdown!D$2:D$3,all_inputs!A311)=1,3,"?")))</f>
        <v>3</v>
      </c>
      <c r="C311" t="s">
        <v>16</v>
      </c>
      <c r="D311" t="s">
        <v>467</v>
      </c>
      <c r="E311" t="s">
        <v>463</v>
      </c>
      <c r="F311">
        <f>IF(AND(all_inputs!E311=dropdown!AA$8, COUNTIF(dropdown!AA$9:AA$19,all_inputs!A311)=1), dropdown!V$12, 1)</f>
        <v>1</v>
      </c>
      <c r="G311" s="4">
        <f>ui!B$4</f>
        <v>2025</v>
      </c>
      <c r="H311" s="4">
        <f>ui!B$5</f>
        <v>2050</v>
      </c>
      <c r="I311" s="4" t="s">
        <v>93</v>
      </c>
      <c r="J311" s="4" t="str">
        <f>VLOOKUP(ui!B$2,dropdown!M:O,3,FALSE)</f>
        <v>LIC</v>
      </c>
      <c r="K311" s="4"/>
      <c r="L311" s="4"/>
      <c r="M311" s="4"/>
      <c r="N311" s="4">
        <v>1</v>
      </c>
      <c r="O311" s="4"/>
      <c r="P311" s="4"/>
      <c r="Q311" s="4"/>
      <c r="R311" s="4">
        <v>1</v>
      </c>
      <c r="S311" s="4"/>
      <c r="T311" s="4"/>
      <c r="U311" s="4"/>
      <c r="V311" s="4"/>
      <c r="W311" s="4"/>
      <c r="X311" s="4"/>
      <c r="Y311" s="4"/>
      <c r="Z311" s="4"/>
      <c r="AA311" t="b">
        <f>VLOOKUP(all_inputs!E311,ui!A$29:B$33,2,FALSE)</f>
        <v>0</v>
      </c>
    </row>
    <row r="312" spans="1:27" hidden="1" x14ac:dyDescent="0.25">
      <c r="A312" t="s">
        <v>21</v>
      </c>
      <c r="B312">
        <f>IF(COUNTIF(dropdown!B$2:B$12,all_inputs!A312)=1,1,IF(COUNTIF(dropdown!C$2:C$4,all_inputs!A312)=1,2,IF(COUNTIF(dropdown!D$2:D$3,all_inputs!A312)=1,3,"?")))</f>
        <v>3</v>
      </c>
      <c r="C312" t="s">
        <v>17</v>
      </c>
      <c r="D312" t="s">
        <v>468</v>
      </c>
      <c r="E312" t="s">
        <v>463</v>
      </c>
      <c r="F312">
        <f>IF(AND(all_inputs!E312=dropdown!AA$8, COUNTIF(dropdown!AA$9:AA$19,all_inputs!A312)=1), dropdown!V$13, 1)</f>
        <v>1</v>
      </c>
      <c r="G312" s="4">
        <f>ui!B$4</f>
        <v>2025</v>
      </c>
      <c r="H312" s="4">
        <f>ui!B$5</f>
        <v>2050</v>
      </c>
      <c r="I312" s="4" t="s">
        <v>93</v>
      </c>
      <c r="J312" s="4" t="str">
        <f>VLOOKUP(ui!B$2,dropdown!M:O,3,FALSE)</f>
        <v>LIC</v>
      </c>
      <c r="K312" s="4"/>
      <c r="L312" s="4"/>
      <c r="M312" s="4"/>
      <c r="N312" s="4">
        <v>1</v>
      </c>
      <c r="O312" s="4"/>
      <c r="P312" s="4"/>
      <c r="Q312" s="4"/>
      <c r="R312" s="4">
        <v>1</v>
      </c>
      <c r="S312" s="4"/>
      <c r="T312" s="4"/>
      <c r="U312" s="4"/>
      <c r="V312" s="4"/>
      <c r="W312" s="4"/>
      <c r="X312" s="4"/>
      <c r="Y312" s="4"/>
      <c r="Z312" s="4"/>
      <c r="AA312" t="b">
        <f>VLOOKUP(all_inputs!E312,ui!A$29:B$33,2,FALSE)</f>
        <v>0</v>
      </c>
    </row>
    <row r="313" spans="1:27" hidden="1" x14ac:dyDescent="0.25">
      <c r="A313" s="2" t="s">
        <v>21</v>
      </c>
      <c r="B313" s="2">
        <f>IF(COUNTIF(dropdown!B$2:B$12,all_inputs!A313)=1,1,IF(COUNTIF(dropdown!C$2:C$4,all_inputs!A313)=1,2,IF(COUNTIF(dropdown!D$2:D$3,all_inputs!A313)=1,3,"?")))</f>
        <v>3</v>
      </c>
      <c r="C313" s="2" t="s">
        <v>18</v>
      </c>
      <c r="D313" s="2" t="s">
        <v>469</v>
      </c>
      <c r="E313" s="2" t="s">
        <v>463</v>
      </c>
      <c r="F313" s="2">
        <f>IF(AND(all_inputs!E313=dropdown!AA$8, COUNTIF(dropdown!AA$9:AA$19,all_inputs!A313)=1), dropdown!V$14, 1)</f>
        <v>1</v>
      </c>
      <c r="G313" s="5">
        <f>ui!B$4</f>
        <v>2025</v>
      </c>
      <c r="H313" s="5">
        <f>ui!B$5</f>
        <v>2050</v>
      </c>
      <c r="I313" s="5" t="s">
        <v>93</v>
      </c>
      <c r="J313" s="5" t="str">
        <f>VLOOKUP(ui!B$2,dropdown!M:O,3,FALSE)</f>
        <v>LIC</v>
      </c>
      <c r="K313" s="5"/>
      <c r="L313" s="5"/>
      <c r="M313" s="5"/>
      <c r="N313" s="5">
        <v>1</v>
      </c>
      <c r="O313" s="5"/>
      <c r="P313" s="5"/>
      <c r="Q313" s="5"/>
      <c r="R313" s="5">
        <v>1</v>
      </c>
      <c r="S313" s="5"/>
      <c r="T313" s="5"/>
      <c r="U313" s="5"/>
      <c r="V313" s="5"/>
      <c r="W313" s="5"/>
      <c r="X313" s="5"/>
      <c r="Y313" s="5"/>
      <c r="Z313" s="5"/>
      <c r="AA313" s="2" t="b">
        <f>VLOOKUP(all_inputs!E313,ui!A$29:B$33,2,FALSE)</f>
        <v>0</v>
      </c>
    </row>
    <row r="314" spans="1:27" hidden="1" x14ac:dyDescent="0.25">
      <c r="A314" t="s">
        <v>22</v>
      </c>
      <c r="B314">
        <f>IF(COUNTIF(dropdown!B$2:B$12,all_inputs!A314)=1,1,IF(COUNTIF(dropdown!C$2:C$4,all_inputs!A314)=1,2,IF(COUNTIF(dropdown!D$2:D$3,all_inputs!A314)=1,3,"?")))</f>
        <v>1</v>
      </c>
      <c r="C314" t="s">
        <v>13</v>
      </c>
      <c r="D314" t="s">
        <v>472</v>
      </c>
      <c r="E314" t="s">
        <v>463</v>
      </c>
      <c r="F314" s="4">
        <f>IF(AND(all_inputs!E314=dropdown!AA$8, COUNTIF(dropdown!AA$9:AA$19,all_inputs!A314)=1), dropdown!V$9, 1)</f>
        <v>1</v>
      </c>
      <c r="G314" s="4">
        <f>ui!B$4</f>
        <v>2025</v>
      </c>
      <c r="H314" s="4">
        <f>ui!B$5</f>
        <v>2050</v>
      </c>
      <c r="I314" s="4" t="s">
        <v>93</v>
      </c>
      <c r="J314" s="4" t="str">
        <f>VLOOKUP(ui!B$2,dropdown!M:O,3,FALSE)</f>
        <v>LIC</v>
      </c>
      <c r="K314" s="4"/>
      <c r="L314" s="4"/>
      <c r="M314" s="4"/>
      <c r="N314" s="4">
        <v>1</v>
      </c>
      <c r="O314" s="4"/>
      <c r="P314" s="4"/>
      <c r="Q314" s="4"/>
      <c r="R314" s="4">
        <v>1</v>
      </c>
      <c r="S314" s="4"/>
      <c r="T314" s="4"/>
      <c r="U314" s="4"/>
      <c r="V314" s="4"/>
      <c r="W314" s="4"/>
      <c r="X314" s="4"/>
      <c r="Y314" s="4"/>
      <c r="Z314" s="4"/>
      <c r="AA314" t="b">
        <f>VLOOKUP(all_inputs!E314,ui!A$29:B$33,2,FALSE)</f>
        <v>0</v>
      </c>
    </row>
    <row r="315" spans="1:27" hidden="1" x14ac:dyDescent="0.25">
      <c r="A315" t="s">
        <v>22</v>
      </c>
      <c r="B315">
        <f>IF(COUNTIF(dropdown!B$2:B$12,all_inputs!A315)=1,1,IF(COUNTIF(dropdown!C$2:C$4,all_inputs!A315)=1,2,IF(COUNTIF(dropdown!D$2:D$3,all_inputs!A315)=1,3,"?")))</f>
        <v>1</v>
      </c>
      <c r="C315" t="s">
        <v>14</v>
      </c>
      <c r="D315" t="s">
        <v>466</v>
      </c>
      <c r="E315" t="s">
        <v>463</v>
      </c>
      <c r="F315">
        <f>IF(AND(all_inputs!E315=dropdown!AA$8, COUNTIF(dropdown!AA$9:AA$19,all_inputs!A315)=1), dropdown!V$10, 1)</f>
        <v>1</v>
      </c>
      <c r="G315" s="4">
        <f>ui!B$4</f>
        <v>2025</v>
      </c>
      <c r="H315" s="4">
        <f>ui!B$5</f>
        <v>2050</v>
      </c>
      <c r="I315" s="4" t="s">
        <v>93</v>
      </c>
      <c r="J315" s="4" t="str">
        <f>VLOOKUP(ui!B$2,dropdown!M:O,3,FALSE)</f>
        <v>LIC</v>
      </c>
      <c r="K315" s="4"/>
      <c r="L315" s="4"/>
      <c r="M315" s="4"/>
      <c r="N315" s="4">
        <v>1</v>
      </c>
      <c r="O315" s="4"/>
      <c r="P315" s="4"/>
      <c r="Q315" s="4"/>
      <c r="R315" s="4">
        <v>1</v>
      </c>
      <c r="S315" s="4"/>
      <c r="T315" s="4"/>
      <c r="U315" s="4"/>
      <c r="V315" s="4"/>
      <c r="W315" s="4"/>
      <c r="X315" s="4"/>
      <c r="Y315" s="4"/>
      <c r="Z315" s="4"/>
      <c r="AA315" t="b">
        <f>VLOOKUP(all_inputs!E315,ui!A$29:B$33,2,FALSE)</f>
        <v>0</v>
      </c>
    </row>
    <row r="316" spans="1:27" hidden="1" x14ac:dyDescent="0.25">
      <c r="A316" t="s">
        <v>22</v>
      </c>
      <c r="B316">
        <f>IF(COUNTIF(dropdown!B$2:B$12,all_inputs!A316)=1,1,IF(COUNTIF(dropdown!C$2:C$4,all_inputs!A316)=1,2,IF(COUNTIF(dropdown!D$2:D$3,all_inputs!A316)=1,3,"?")))</f>
        <v>1</v>
      </c>
      <c r="C316" t="s">
        <v>15</v>
      </c>
      <c r="D316" t="s">
        <v>466</v>
      </c>
      <c r="E316" t="s">
        <v>463</v>
      </c>
      <c r="F316" s="4">
        <f>IF(AND(all_inputs!E316=dropdown!AA$8, COUNTIF(dropdown!AA$9:AA$19,all_inputs!A316)=1), dropdown!V$11, 1)</f>
        <v>1</v>
      </c>
      <c r="G316" s="4">
        <f>ui!B$4</f>
        <v>2025</v>
      </c>
      <c r="H316" s="4">
        <f>ui!B$5</f>
        <v>2050</v>
      </c>
      <c r="I316" s="4" t="s">
        <v>93</v>
      </c>
      <c r="J316" s="4" t="str">
        <f>VLOOKUP(ui!B$2,dropdown!M:O,3,FALSE)</f>
        <v>LIC</v>
      </c>
      <c r="K316" s="4"/>
      <c r="L316" s="4"/>
      <c r="M316" s="4"/>
      <c r="N316" s="4">
        <v>1</v>
      </c>
      <c r="O316" s="4"/>
      <c r="P316" s="4"/>
      <c r="Q316" s="4"/>
      <c r="R316" s="4">
        <v>1</v>
      </c>
      <c r="S316" s="4"/>
      <c r="T316" s="4"/>
      <c r="U316" s="4"/>
      <c r="V316" s="4"/>
      <c r="W316" s="4"/>
      <c r="X316" s="4"/>
      <c r="Y316" s="4"/>
      <c r="Z316" s="4"/>
      <c r="AA316" t="b">
        <f>VLOOKUP(all_inputs!E316,ui!A$29:B$33,2,FALSE)</f>
        <v>0</v>
      </c>
    </row>
    <row r="317" spans="1:27" hidden="1" x14ac:dyDescent="0.25">
      <c r="A317" t="s">
        <v>22</v>
      </c>
      <c r="B317">
        <f>IF(COUNTIF(dropdown!B$2:B$12,all_inputs!A317)=1,1,IF(COUNTIF(dropdown!C$2:C$4,all_inputs!A317)=1,2,IF(COUNTIF(dropdown!D$2:D$3,all_inputs!A317)=1,3,"?")))</f>
        <v>1</v>
      </c>
      <c r="C317" t="s">
        <v>16</v>
      </c>
      <c r="D317" t="s">
        <v>467</v>
      </c>
      <c r="E317" t="s">
        <v>463</v>
      </c>
      <c r="F317">
        <f>IF(AND(all_inputs!E317=dropdown!AA$8, COUNTIF(dropdown!AA$9:AA$19,all_inputs!A317)=1), dropdown!V$12, 1)</f>
        <v>1</v>
      </c>
      <c r="G317" s="4">
        <f>ui!B$4</f>
        <v>2025</v>
      </c>
      <c r="H317" s="4">
        <f>ui!B$5</f>
        <v>2050</v>
      </c>
      <c r="I317" s="4" t="s">
        <v>93</v>
      </c>
      <c r="J317" s="4" t="str">
        <f>VLOOKUP(ui!B$2,dropdown!M:O,3,FALSE)</f>
        <v>LIC</v>
      </c>
      <c r="K317" s="4"/>
      <c r="L317" s="4"/>
      <c r="M317" s="4"/>
      <c r="N317" s="4">
        <v>1</v>
      </c>
      <c r="O317" s="4"/>
      <c r="P317" s="4"/>
      <c r="Q317" s="4"/>
      <c r="R317" s="4">
        <v>1</v>
      </c>
      <c r="S317" s="4"/>
      <c r="T317" s="4"/>
      <c r="U317" s="4"/>
      <c r="V317" s="4"/>
      <c r="W317" s="4"/>
      <c r="X317" s="4"/>
      <c r="Y317" s="4"/>
      <c r="Z317" s="4"/>
      <c r="AA317" t="b">
        <f>VLOOKUP(all_inputs!E317,ui!A$29:B$33,2,FALSE)</f>
        <v>0</v>
      </c>
    </row>
    <row r="318" spans="1:27" hidden="1" x14ac:dyDescent="0.25">
      <c r="A318" t="s">
        <v>22</v>
      </c>
      <c r="B318">
        <f>IF(COUNTIF(dropdown!B$2:B$12,all_inputs!A318)=1,1,IF(COUNTIF(dropdown!C$2:C$4,all_inputs!A318)=1,2,IF(COUNTIF(dropdown!D$2:D$3,all_inputs!A318)=1,3,"?")))</f>
        <v>1</v>
      </c>
      <c r="C318" t="s">
        <v>17</v>
      </c>
      <c r="D318" t="s">
        <v>468</v>
      </c>
      <c r="E318" t="s">
        <v>463</v>
      </c>
      <c r="F318">
        <f>IF(AND(all_inputs!E318=dropdown!AA$8, COUNTIF(dropdown!AA$9:AA$19,all_inputs!A318)=1), dropdown!V$13, 1)</f>
        <v>1</v>
      </c>
      <c r="G318" s="4">
        <f>ui!B$4</f>
        <v>2025</v>
      </c>
      <c r="H318" s="4">
        <f>ui!B$5</f>
        <v>2050</v>
      </c>
      <c r="I318" s="4" t="s">
        <v>93</v>
      </c>
      <c r="J318" s="4" t="str">
        <f>VLOOKUP(ui!B$2,dropdown!M:O,3,FALSE)</f>
        <v>LIC</v>
      </c>
      <c r="K318" s="4"/>
      <c r="L318" s="4"/>
      <c r="M318" s="4"/>
      <c r="N318" s="4">
        <v>1</v>
      </c>
      <c r="O318" s="4"/>
      <c r="P318" s="4"/>
      <c r="Q318" s="4"/>
      <c r="R318" s="4">
        <v>1</v>
      </c>
      <c r="S318" s="4"/>
      <c r="T318" s="4"/>
      <c r="U318" s="4"/>
      <c r="V318" s="4"/>
      <c r="W318" s="4"/>
      <c r="X318" s="4"/>
      <c r="Y318" s="4"/>
      <c r="Z318" s="4"/>
      <c r="AA318" t="b">
        <f>VLOOKUP(all_inputs!E318,ui!A$29:B$33,2,FALSE)</f>
        <v>0</v>
      </c>
    </row>
    <row r="319" spans="1:27" hidden="1" x14ac:dyDescent="0.25">
      <c r="A319" s="2" t="s">
        <v>22</v>
      </c>
      <c r="B319" s="2">
        <f>IF(COUNTIF(dropdown!B$2:B$12,all_inputs!A319)=1,1,IF(COUNTIF(dropdown!C$2:C$4,all_inputs!A319)=1,2,IF(COUNTIF(dropdown!D$2:D$3,all_inputs!A319)=1,3,"?")))</f>
        <v>1</v>
      </c>
      <c r="C319" s="2" t="s">
        <v>18</v>
      </c>
      <c r="D319" s="2" t="s">
        <v>469</v>
      </c>
      <c r="E319" s="2" t="s">
        <v>463</v>
      </c>
      <c r="F319" s="2">
        <f>IF(AND(all_inputs!E319=dropdown!AA$8, COUNTIF(dropdown!AA$9:AA$19,all_inputs!A319)=1), dropdown!V$14, 1)</f>
        <v>1</v>
      </c>
      <c r="G319" s="5">
        <f>ui!B$4</f>
        <v>2025</v>
      </c>
      <c r="H319" s="5">
        <f>ui!B$5</f>
        <v>2050</v>
      </c>
      <c r="I319" s="5" t="s">
        <v>93</v>
      </c>
      <c r="J319" s="5" t="str">
        <f>VLOOKUP(ui!B$2,dropdown!M:O,3,FALSE)</f>
        <v>LIC</v>
      </c>
      <c r="K319" s="5"/>
      <c r="L319" s="5"/>
      <c r="M319" s="5"/>
      <c r="N319" s="5">
        <v>1</v>
      </c>
      <c r="O319" s="5"/>
      <c r="P319" s="5"/>
      <c r="Q319" s="5"/>
      <c r="R319" s="5">
        <v>1</v>
      </c>
      <c r="S319" s="5"/>
      <c r="T319" s="5"/>
      <c r="U319" s="5"/>
      <c r="V319" s="5"/>
      <c r="W319" s="5"/>
      <c r="X319" s="5"/>
      <c r="Y319" s="5"/>
      <c r="Z319" s="5"/>
      <c r="AA319" s="2" t="b">
        <f>VLOOKUP(all_inputs!E319,ui!A$29:B$33,2,FALSE)</f>
        <v>0</v>
      </c>
    </row>
    <row r="320" spans="1:27" hidden="1" x14ac:dyDescent="0.25">
      <c r="A320" t="s">
        <v>23</v>
      </c>
      <c r="B320">
        <f>IF(COUNTIF(dropdown!B$2:B$12,all_inputs!A320)=1,1,IF(COUNTIF(dropdown!C$2:C$4,all_inputs!A320)=1,2,IF(COUNTIF(dropdown!D$2:D$3,all_inputs!A320)=1,3,"?")))</f>
        <v>1</v>
      </c>
      <c r="C320" t="s">
        <v>13</v>
      </c>
      <c r="D320" t="s">
        <v>472</v>
      </c>
      <c r="E320" t="s">
        <v>463</v>
      </c>
      <c r="F320" s="4">
        <f>IF(AND(all_inputs!E320=dropdown!AA$8, COUNTIF(dropdown!AA$9:AA$19,all_inputs!A320)=1), dropdown!V$9, 1)</f>
        <v>1</v>
      </c>
      <c r="G320" s="4">
        <f>ui!B$4</f>
        <v>2025</v>
      </c>
      <c r="H320" s="4">
        <f>ui!B$5</f>
        <v>2050</v>
      </c>
      <c r="I320" s="4" t="s">
        <v>93</v>
      </c>
      <c r="J320" s="4" t="str">
        <f>VLOOKUP(ui!B$2,dropdown!M:O,3,FALSE)</f>
        <v>LIC</v>
      </c>
      <c r="K320" s="4"/>
      <c r="L320" s="4"/>
      <c r="M320" s="4"/>
      <c r="N320" s="4">
        <v>1</v>
      </c>
      <c r="O320" s="4"/>
      <c r="P320" s="4"/>
      <c r="Q320" s="4"/>
      <c r="R320" s="4">
        <v>1</v>
      </c>
      <c r="S320" s="4"/>
      <c r="T320" s="4"/>
      <c r="U320" s="4"/>
      <c r="V320" s="4"/>
      <c r="W320" s="4"/>
      <c r="X320" s="4"/>
      <c r="Y320" s="4"/>
      <c r="Z320" s="4"/>
      <c r="AA320" t="b">
        <f>VLOOKUP(all_inputs!E320,ui!A$29:B$33,2,FALSE)</f>
        <v>0</v>
      </c>
    </row>
    <row r="321" spans="1:27" hidden="1" x14ac:dyDescent="0.25">
      <c r="A321" t="s">
        <v>23</v>
      </c>
      <c r="B321">
        <f>IF(COUNTIF(dropdown!B$2:B$12,all_inputs!A321)=1,1,IF(COUNTIF(dropdown!C$2:C$4,all_inputs!A321)=1,2,IF(COUNTIF(dropdown!D$2:D$3,all_inputs!A321)=1,3,"?")))</f>
        <v>1</v>
      </c>
      <c r="C321" t="s">
        <v>14</v>
      </c>
      <c r="D321" t="s">
        <v>466</v>
      </c>
      <c r="E321" t="s">
        <v>463</v>
      </c>
      <c r="F321">
        <f>IF(AND(all_inputs!E321=dropdown!AA$8, COUNTIF(dropdown!AA$9:AA$19,all_inputs!A321)=1), dropdown!V$10, 1)</f>
        <v>1</v>
      </c>
      <c r="G321" s="4">
        <f>ui!B$4</f>
        <v>2025</v>
      </c>
      <c r="H321" s="4">
        <f>ui!B$5</f>
        <v>2050</v>
      </c>
      <c r="I321" s="4" t="s">
        <v>93</v>
      </c>
      <c r="J321" s="4" t="str">
        <f>VLOOKUP(ui!B$2,dropdown!M:O,3,FALSE)</f>
        <v>LIC</v>
      </c>
      <c r="K321" s="4"/>
      <c r="L321" s="4"/>
      <c r="M321" s="4"/>
      <c r="N321" s="4">
        <v>1</v>
      </c>
      <c r="O321" s="4"/>
      <c r="P321" s="4"/>
      <c r="Q321" s="4"/>
      <c r="R321" s="4">
        <v>1</v>
      </c>
      <c r="S321" s="4"/>
      <c r="T321" s="4"/>
      <c r="U321" s="4"/>
      <c r="V321" s="4"/>
      <c r="W321" s="4"/>
      <c r="X321" s="4"/>
      <c r="Y321" s="4"/>
      <c r="Z321" s="4"/>
      <c r="AA321" t="b">
        <f>VLOOKUP(all_inputs!E321,ui!A$29:B$33,2,FALSE)</f>
        <v>0</v>
      </c>
    </row>
    <row r="322" spans="1:27" hidden="1" x14ac:dyDescent="0.25">
      <c r="A322" t="s">
        <v>23</v>
      </c>
      <c r="B322">
        <f>IF(COUNTIF(dropdown!B$2:B$12,all_inputs!A322)=1,1,IF(COUNTIF(dropdown!C$2:C$4,all_inputs!A322)=1,2,IF(COUNTIF(dropdown!D$2:D$3,all_inputs!A322)=1,3,"?")))</f>
        <v>1</v>
      </c>
      <c r="C322" t="s">
        <v>15</v>
      </c>
      <c r="D322" t="s">
        <v>466</v>
      </c>
      <c r="E322" t="s">
        <v>463</v>
      </c>
      <c r="F322" s="4">
        <f>IF(AND(all_inputs!E322=dropdown!AA$8, COUNTIF(dropdown!AA$9:AA$19,all_inputs!A322)=1), dropdown!V$11, 1)</f>
        <v>1</v>
      </c>
      <c r="G322" s="4">
        <f>ui!B$4</f>
        <v>2025</v>
      </c>
      <c r="H322" s="4">
        <f>ui!B$5</f>
        <v>2050</v>
      </c>
      <c r="I322" s="4" t="s">
        <v>93</v>
      </c>
      <c r="J322" s="4" t="str">
        <f>VLOOKUP(ui!B$2,dropdown!M:O,3,FALSE)</f>
        <v>LIC</v>
      </c>
      <c r="K322" s="4"/>
      <c r="L322" s="4"/>
      <c r="M322" s="4"/>
      <c r="N322" s="4">
        <v>1</v>
      </c>
      <c r="O322" s="4"/>
      <c r="P322" s="4"/>
      <c r="Q322" s="4"/>
      <c r="R322" s="4">
        <v>1</v>
      </c>
      <c r="S322" s="4"/>
      <c r="T322" s="4"/>
      <c r="U322" s="4"/>
      <c r="V322" s="4"/>
      <c r="W322" s="4"/>
      <c r="X322" s="4"/>
      <c r="Y322" s="4"/>
      <c r="Z322" s="4"/>
      <c r="AA322" t="b">
        <f>VLOOKUP(all_inputs!E322,ui!A$29:B$33,2,FALSE)</f>
        <v>0</v>
      </c>
    </row>
    <row r="323" spans="1:27" hidden="1" x14ac:dyDescent="0.25">
      <c r="A323" t="s">
        <v>23</v>
      </c>
      <c r="B323">
        <f>IF(COUNTIF(dropdown!B$2:B$12,all_inputs!A323)=1,1,IF(COUNTIF(dropdown!C$2:C$4,all_inputs!A323)=1,2,IF(COUNTIF(dropdown!D$2:D$3,all_inputs!A323)=1,3,"?")))</f>
        <v>1</v>
      </c>
      <c r="C323" t="s">
        <v>16</v>
      </c>
      <c r="D323" t="s">
        <v>467</v>
      </c>
      <c r="E323" t="s">
        <v>463</v>
      </c>
      <c r="F323" s="4">
        <f>IF(AND(all_inputs!E323=dropdown!AA$8, COUNTIF(dropdown!AA$9:AA$19,all_inputs!A323)=1), dropdown!V$12, 1)</f>
        <v>1</v>
      </c>
      <c r="G323" s="4">
        <f>ui!B$4</f>
        <v>2025</v>
      </c>
      <c r="H323" s="4">
        <f>ui!B$5</f>
        <v>2050</v>
      </c>
      <c r="I323" s="4" t="s">
        <v>93</v>
      </c>
      <c r="J323" s="4" t="str">
        <f>VLOOKUP(ui!B$2,dropdown!M:O,3,FALSE)</f>
        <v>LIC</v>
      </c>
      <c r="K323" s="4"/>
      <c r="L323" s="4"/>
      <c r="M323" s="4"/>
      <c r="N323" s="4">
        <v>1</v>
      </c>
      <c r="O323" s="4"/>
      <c r="P323" s="4"/>
      <c r="Q323" s="4"/>
      <c r="R323" s="4">
        <v>1</v>
      </c>
      <c r="S323" s="4"/>
      <c r="T323" s="4"/>
      <c r="U323" s="4"/>
      <c r="V323" s="4"/>
      <c r="W323" s="4"/>
      <c r="X323" s="4"/>
      <c r="Y323" s="4"/>
      <c r="Z323" s="4"/>
      <c r="AA323" t="b">
        <f>VLOOKUP(all_inputs!E323,ui!A$29:B$33,2,FALSE)</f>
        <v>0</v>
      </c>
    </row>
    <row r="324" spans="1:27" hidden="1" x14ac:dyDescent="0.25">
      <c r="A324" t="s">
        <v>23</v>
      </c>
      <c r="B324">
        <f>IF(COUNTIF(dropdown!B$2:B$12,all_inputs!A324)=1,1,IF(COUNTIF(dropdown!C$2:C$4,all_inputs!A324)=1,2,IF(COUNTIF(dropdown!D$2:D$3,all_inputs!A324)=1,3,"?")))</f>
        <v>1</v>
      </c>
      <c r="C324" t="s">
        <v>17</v>
      </c>
      <c r="D324" t="s">
        <v>468</v>
      </c>
      <c r="E324" t="s">
        <v>463</v>
      </c>
      <c r="F324" s="4">
        <f>IF(AND(all_inputs!E324=dropdown!AA$8, COUNTIF(dropdown!AA$9:AA$19,all_inputs!A324)=1), dropdown!V$13, 1)</f>
        <v>1</v>
      </c>
      <c r="G324" s="4">
        <f>ui!B$4</f>
        <v>2025</v>
      </c>
      <c r="H324" s="4">
        <f>ui!B$5</f>
        <v>2050</v>
      </c>
      <c r="I324" s="4" t="s">
        <v>93</v>
      </c>
      <c r="J324" s="4" t="str">
        <f>VLOOKUP(ui!B$2,dropdown!M:O,3,FALSE)</f>
        <v>LIC</v>
      </c>
      <c r="K324" s="4"/>
      <c r="L324" s="4"/>
      <c r="M324" s="4"/>
      <c r="N324" s="4">
        <v>1</v>
      </c>
      <c r="O324" s="4"/>
      <c r="P324" s="4"/>
      <c r="Q324" s="4"/>
      <c r="R324" s="4">
        <v>1</v>
      </c>
      <c r="S324" s="4"/>
      <c r="T324" s="4"/>
      <c r="U324" s="4"/>
      <c r="V324" s="4"/>
      <c r="W324" s="4"/>
      <c r="X324" s="4"/>
      <c r="Y324" s="4"/>
      <c r="Z324" s="4"/>
      <c r="AA324" t="b">
        <f>VLOOKUP(all_inputs!E324,ui!A$29:B$33,2,FALSE)</f>
        <v>0</v>
      </c>
    </row>
    <row r="325" spans="1:27" hidden="1" x14ac:dyDescent="0.25">
      <c r="A325" s="2" t="s">
        <v>23</v>
      </c>
      <c r="B325" s="2">
        <f>IF(COUNTIF(dropdown!B$2:B$12,all_inputs!A325)=1,1,IF(COUNTIF(dropdown!C$2:C$4,all_inputs!A325)=1,2,IF(COUNTIF(dropdown!D$2:D$3,all_inputs!A325)=1,3,"?")))</f>
        <v>1</v>
      </c>
      <c r="C325" s="2" t="s">
        <v>18</v>
      </c>
      <c r="D325" s="2" t="s">
        <v>469</v>
      </c>
      <c r="E325" s="2" t="s">
        <v>463</v>
      </c>
      <c r="F325" s="2">
        <f>IF(AND(all_inputs!E325=dropdown!AA$8, COUNTIF(dropdown!AA$9:AA$19,all_inputs!A325)=1), dropdown!V$14, 1)</f>
        <v>1</v>
      </c>
      <c r="G325" s="5">
        <f>ui!B$4</f>
        <v>2025</v>
      </c>
      <c r="H325" s="5">
        <f>ui!B$5</f>
        <v>2050</v>
      </c>
      <c r="I325" s="5" t="s">
        <v>93</v>
      </c>
      <c r="J325" s="5" t="str">
        <f>VLOOKUP(ui!B$2,dropdown!M:O,3,FALSE)</f>
        <v>LIC</v>
      </c>
      <c r="K325" s="5"/>
      <c r="L325" s="5"/>
      <c r="M325" s="5"/>
      <c r="N325" s="5">
        <v>1</v>
      </c>
      <c r="O325" s="5"/>
      <c r="P325" s="5"/>
      <c r="Q325" s="5"/>
      <c r="R325" s="5">
        <v>1</v>
      </c>
      <c r="S325" s="5"/>
      <c r="T325" s="5"/>
      <c r="U325" s="5"/>
      <c r="V325" s="5"/>
      <c r="W325" s="5"/>
      <c r="X325" s="5"/>
      <c r="Y325" s="5"/>
      <c r="Z325" s="5"/>
      <c r="AA325" s="2" t="b">
        <f>VLOOKUP(all_inputs!E325,ui!A$29:B$33,2,FALSE)</f>
        <v>0</v>
      </c>
    </row>
    <row r="326" spans="1:27" hidden="1" x14ac:dyDescent="0.25">
      <c r="A326" t="s">
        <v>24</v>
      </c>
      <c r="B326">
        <f>IF(COUNTIF(dropdown!B$2:B$12,all_inputs!A326)=1,1,IF(COUNTIF(dropdown!C$2:C$4,all_inputs!A326)=1,2,IF(COUNTIF(dropdown!D$2:D$3,all_inputs!A326)=1,3,"?")))</f>
        <v>1</v>
      </c>
      <c r="C326" t="s">
        <v>13</v>
      </c>
      <c r="D326" t="s">
        <v>472</v>
      </c>
      <c r="E326" t="s">
        <v>463</v>
      </c>
      <c r="F326" s="4">
        <f>IF(AND(all_inputs!E326=dropdown!AA$8, COUNTIF(dropdown!AA$9:AA$19,all_inputs!A326)=1), dropdown!V$9, 1)</f>
        <v>1</v>
      </c>
      <c r="G326" s="4">
        <f>ui!B$4</f>
        <v>2025</v>
      </c>
      <c r="H326" s="4">
        <f>ui!B$5</f>
        <v>2050</v>
      </c>
      <c r="I326" s="4" t="s">
        <v>93</v>
      </c>
      <c r="J326" s="4" t="str">
        <f>VLOOKUP(ui!B$2,dropdown!M:O,3,FALSE)</f>
        <v>LIC</v>
      </c>
      <c r="K326" s="4"/>
      <c r="L326" s="4"/>
      <c r="M326" s="4"/>
      <c r="N326" s="4">
        <v>1</v>
      </c>
      <c r="O326" s="4"/>
      <c r="P326" s="4"/>
      <c r="Q326" s="4"/>
      <c r="R326" s="4">
        <v>1</v>
      </c>
      <c r="S326" s="4"/>
      <c r="T326" s="4"/>
      <c r="U326" s="4"/>
      <c r="V326" s="4"/>
      <c r="W326" s="4"/>
      <c r="X326" s="4"/>
      <c r="Y326" s="4"/>
      <c r="Z326" s="4"/>
      <c r="AA326" t="b">
        <f>VLOOKUP(all_inputs!E326,ui!A$29:B$33,2,FALSE)</f>
        <v>0</v>
      </c>
    </row>
    <row r="327" spans="1:27" hidden="1" x14ac:dyDescent="0.25">
      <c r="A327" t="s">
        <v>24</v>
      </c>
      <c r="B327">
        <f>IF(COUNTIF(dropdown!B$2:B$12,all_inputs!A327)=1,1,IF(COUNTIF(dropdown!C$2:C$4,all_inputs!A327)=1,2,IF(COUNTIF(dropdown!D$2:D$3,all_inputs!A327)=1,3,"?")))</f>
        <v>1</v>
      </c>
      <c r="C327" t="s">
        <v>14</v>
      </c>
      <c r="D327" t="s">
        <v>466</v>
      </c>
      <c r="E327" t="s">
        <v>463</v>
      </c>
      <c r="F327">
        <f>IF(AND(all_inputs!E327=dropdown!AA$8, COUNTIF(dropdown!AA$9:AA$19,all_inputs!A327)=1), dropdown!V$10, 1)</f>
        <v>1</v>
      </c>
      <c r="G327" s="4">
        <f>ui!B$4</f>
        <v>2025</v>
      </c>
      <c r="H327" s="4">
        <f>ui!B$5</f>
        <v>2050</v>
      </c>
      <c r="I327" s="4" t="s">
        <v>93</v>
      </c>
      <c r="J327" s="4" t="str">
        <f>VLOOKUP(ui!B$2,dropdown!M:O,3,FALSE)</f>
        <v>LIC</v>
      </c>
      <c r="K327" s="4"/>
      <c r="L327" s="4"/>
      <c r="M327" s="4"/>
      <c r="N327" s="4">
        <v>1</v>
      </c>
      <c r="O327" s="4"/>
      <c r="P327" s="4"/>
      <c r="Q327" s="4"/>
      <c r="R327" s="4">
        <v>1</v>
      </c>
      <c r="S327" s="4"/>
      <c r="T327" s="4"/>
      <c r="U327" s="4"/>
      <c r="V327" s="4"/>
      <c r="W327" s="4"/>
      <c r="X327" s="4"/>
      <c r="Y327" s="4"/>
      <c r="Z327" s="4"/>
      <c r="AA327" t="b">
        <f>VLOOKUP(all_inputs!E327,ui!A$29:B$33,2,FALSE)</f>
        <v>0</v>
      </c>
    </row>
    <row r="328" spans="1:27" hidden="1" x14ac:dyDescent="0.25">
      <c r="A328" t="s">
        <v>24</v>
      </c>
      <c r="B328">
        <f>IF(COUNTIF(dropdown!B$2:B$12,all_inputs!A328)=1,1,IF(COUNTIF(dropdown!C$2:C$4,all_inputs!A328)=1,2,IF(COUNTIF(dropdown!D$2:D$3,all_inputs!A328)=1,3,"?")))</f>
        <v>1</v>
      </c>
      <c r="C328" t="s">
        <v>15</v>
      </c>
      <c r="D328" t="s">
        <v>466</v>
      </c>
      <c r="E328" t="s">
        <v>463</v>
      </c>
      <c r="F328" s="4">
        <f>IF(AND(all_inputs!E328=dropdown!AA$8, COUNTIF(dropdown!AA$9:AA$19,all_inputs!A328)=1), dropdown!V$11, 1)</f>
        <v>1</v>
      </c>
      <c r="G328" s="4">
        <f>ui!B$4</f>
        <v>2025</v>
      </c>
      <c r="H328" s="4">
        <f>ui!B$5</f>
        <v>2050</v>
      </c>
      <c r="I328" s="4" t="s">
        <v>93</v>
      </c>
      <c r="J328" s="4" t="str">
        <f>VLOOKUP(ui!B$2,dropdown!M:O,3,FALSE)</f>
        <v>LIC</v>
      </c>
      <c r="K328" s="4"/>
      <c r="L328" s="4"/>
      <c r="M328" s="4"/>
      <c r="N328" s="4">
        <v>1</v>
      </c>
      <c r="O328" s="4"/>
      <c r="P328" s="4"/>
      <c r="Q328" s="4"/>
      <c r="R328" s="4">
        <v>1</v>
      </c>
      <c r="S328" s="4"/>
      <c r="T328" s="4"/>
      <c r="U328" s="4"/>
      <c r="V328" s="4"/>
      <c r="W328" s="4"/>
      <c r="X328" s="4"/>
      <c r="Y328" s="4"/>
      <c r="Z328" s="4"/>
      <c r="AA328" t="b">
        <f>VLOOKUP(all_inputs!E328,ui!A$29:B$33,2,FALSE)</f>
        <v>0</v>
      </c>
    </row>
    <row r="329" spans="1:27" hidden="1" x14ac:dyDescent="0.25">
      <c r="A329" t="s">
        <v>24</v>
      </c>
      <c r="B329">
        <f>IF(COUNTIF(dropdown!B$2:B$12,all_inputs!A329)=1,1,IF(COUNTIF(dropdown!C$2:C$4,all_inputs!A329)=1,2,IF(COUNTIF(dropdown!D$2:D$3,all_inputs!A329)=1,3,"?")))</f>
        <v>1</v>
      </c>
      <c r="C329" t="s">
        <v>16</v>
      </c>
      <c r="D329" t="s">
        <v>467</v>
      </c>
      <c r="E329" t="s">
        <v>463</v>
      </c>
      <c r="F329">
        <f>IF(AND(all_inputs!E329=dropdown!AA$8, COUNTIF(dropdown!AA$9:AA$19,all_inputs!A329)=1), dropdown!V$12, 1)</f>
        <v>1</v>
      </c>
      <c r="G329" s="4">
        <f>ui!B$4</f>
        <v>2025</v>
      </c>
      <c r="H329" s="4">
        <f>ui!B$5</f>
        <v>2050</v>
      </c>
      <c r="I329" s="4" t="s">
        <v>93</v>
      </c>
      <c r="J329" s="4" t="str">
        <f>VLOOKUP(ui!B$2,dropdown!M:O,3,FALSE)</f>
        <v>LIC</v>
      </c>
      <c r="K329" s="4"/>
      <c r="L329" s="4"/>
      <c r="M329" s="4"/>
      <c r="N329" s="4">
        <v>1</v>
      </c>
      <c r="O329" s="4"/>
      <c r="P329" s="4"/>
      <c r="Q329" s="4"/>
      <c r="R329" s="4">
        <v>1</v>
      </c>
      <c r="S329" s="4"/>
      <c r="T329" s="4"/>
      <c r="U329" s="4"/>
      <c r="V329" s="4"/>
      <c r="W329" s="4"/>
      <c r="X329" s="4"/>
      <c r="Y329" s="4"/>
      <c r="Z329" s="4"/>
      <c r="AA329" t="b">
        <f>VLOOKUP(all_inputs!E329,ui!A$29:B$33,2,FALSE)</f>
        <v>0</v>
      </c>
    </row>
    <row r="330" spans="1:27" hidden="1" x14ac:dyDescent="0.25">
      <c r="A330" t="s">
        <v>24</v>
      </c>
      <c r="B330">
        <f>IF(COUNTIF(dropdown!B$2:B$12,all_inputs!A330)=1,1,IF(COUNTIF(dropdown!C$2:C$4,all_inputs!A330)=1,2,IF(COUNTIF(dropdown!D$2:D$3,all_inputs!A330)=1,3,"?")))</f>
        <v>1</v>
      </c>
      <c r="C330" t="s">
        <v>17</v>
      </c>
      <c r="D330" t="s">
        <v>468</v>
      </c>
      <c r="E330" t="s">
        <v>463</v>
      </c>
      <c r="F330">
        <f>IF(AND(all_inputs!E330=dropdown!AA$8, COUNTIF(dropdown!AA$9:AA$19,all_inputs!A330)=1), dropdown!V$13, 1)</f>
        <v>1</v>
      </c>
      <c r="G330" s="4">
        <f>ui!B$4</f>
        <v>2025</v>
      </c>
      <c r="H330" s="4">
        <f>ui!B$5</f>
        <v>2050</v>
      </c>
      <c r="I330" s="4" t="s">
        <v>93</v>
      </c>
      <c r="J330" s="4" t="str">
        <f>VLOOKUP(ui!B$2,dropdown!M:O,3,FALSE)</f>
        <v>LIC</v>
      </c>
      <c r="K330" s="4"/>
      <c r="L330" s="4"/>
      <c r="M330" s="4"/>
      <c r="N330" s="4">
        <v>1</v>
      </c>
      <c r="O330" s="4"/>
      <c r="P330" s="4"/>
      <c r="Q330" s="4"/>
      <c r="R330" s="4">
        <v>1</v>
      </c>
      <c r="S330" s="4"/>
      <c r="T330" s="4"/>
      <c r="U330" s="4"/>
      <c r="V330" s="4"/>
      <c r="W330" s="4"/>
      <c r="X330" s="4"/>
      <c r="Y330" s="4"/>
      <c r="Z330" s="4"/>
      <c r="AA330" t="b">
        <f>VLOOKUP(all_inputs!E330,ui!A$29:B$33,2,FALSE)</f>
        <v>0</v>
      </c>
    </row>
    <row r="331" spans="1:27" hidden="1" x14ac:dyDescent="0.25">
      <c r="A331" s="2" t="s">
        <v>24</v>
      </c>
      <c r="B331" s="2">
        <f>IF(COUNTIF(dropdown!B$2:B$12,all_inputs!A331)=1,1,IF(COUNTIF(dropdown!C$2:C$4,all_inputs!A331)=1,2,IF(COUNTIF(dropdown!D$2:D$3,all_inputs!A331)=1,3,"?")))</f>
        <v>1</v>
      </c>
      <c r="C331" s="2" t="s">
        <v>18</v>
      </c>
      <c r="D331" s="2" t="s">
        <v>469</v>
      </c>
      <c r="E331" s="2" t="s">
        <v>463</v>
      </c>
      <c r="F331" s="2">
        <f>IF(AND(all_inputs!E331=dropdown!AA$8, COUNTIF(dropdown!AA$9:AA$19,all_inputs!A331)=1), dropdown!V$14, 1)</f>
        <v>1</v>
      </c>
      <c r="G331" s="5">
        <f>ui!B$4</f>
        <v>2025</v>
      </c>
      <c r="H331" s="5">
        <f>ui!B$5</f>
        <v>2050</v>
      </c>
      <c r="I331" s="5" t="s">
        <v>93</v>
      </c>
      <c r="J331" s="5" t="str">
        <f>VLOOKUP(ui!B$2,dropdown!M:O,3,FALSE)</f>
        <v>LIC</v>
      </c>
      <c r="K331" s="5"/>
      <c r="L331" s="5"/>
      <c r="M331" s="5"/>
      <c r="N331" s="5">
        <v>1</v>
      </c>
      <c r="O331" s="5"/>
      <c r="P331" s="5"/>
      <c r="Q331" s="5"/>
      <c r="R331" s="5">
        <v>1</v>
      </c>
      <c r="S331" s="5"/>
      <c r="T331" s="5"/>
      <c r="U331" s="5"/>
      <c r="V331" s="5"/>
      <c r="W331" s="5"/>
      <c r="X331" s="5"/>
      <c r="Y331" s="5"/>
      <c r="Z331" s="5"/>
      <c r="AA331" s="2" t="b">
        <f>VLOOKUP(all_inputs!E331,ui!A$29:B$33,2,FALSE)</f>
        <v>0</v>
      </c>
    </row>
    <row r="332" spans="1:27" hidden="1" x14ac:dyDescent="0.25">
      <c r="A332" t="s">
        <v>25</v>
      </c>
      <c r="B332">
        <f>IF(COUNTIF(dropdown!B$2:B$12,all_inputs!A332)=1,1,IF(COUNTIF(dropdown!C$2:C$4,all_inputs!A332)=1,2,IF(COUNTIF(dropdown!D$2:D$3,all_inputs!A332)=1,3,"?")))</f>
        <v>1</v>
      </c>
      <c r="C332" t="s">
        <v>13</v>
      </c>
      <c r="D332" t="s">
        <v>472</v>
      </c>
      <c r="E332" t="s">
        <v>463</v>
      </c>
      <c r="F332" s="4">
        <f>IF(AND(all_inputs!E332=dropdown!AA$8, COUNTIF(dropdown!AA$9:AA$19,all_inputs!A332)=1), dropdown!V$9, 1)</f>
        <v>1</v>
      </c>
      <c r="G332" s="4">
        <f>ui!B$4</f>
        <v>2025</v>
      </c>
      <c r="H332" s="4">
        <f>ui!B$5</f>
        <v>2050</v>
      </c>
      <c r="I332" s="4" t="s">
        <v>93</v>
      </c>
      <c r="J332" s="4" t="str">
        <f>VLOOKUP(ui!B$2,dropdown!M:O,3,FALSE)</f>
        <v>LIC</v>
      </c>
      <c r="K332" s="4"/>
      <c r="L332" s="4"/>
      <c r="M332" s="4"/>
      <c r="N332" s="4">
        <v>1</v>
      </c>
      <c r="O332" s="4"/>
      <c r="P332" s="4"/>
      <c r="Q332" s="4"/>
      <c r="R332" s="4">
        <v>1</v>
      </c>
      <c r="S332" s="4"/>
      <c r="T332" s="4"/>
      <c r="U332" s="4"/>
      <c r="V332" s="4"/>
      <c r="W332" s="4"/>
      <c r="X332" s="4"/>
      <c r="Y332" s="4"/>
      <c r="Z332" s="4"/>
      <c r="AA332" t="b">
        <f>VLOOKUP(all_inputs!E332,ui!A$29:B$33,2,FALSE)</f>
        <v>0</v>
      </c>
    </row>
    <row r="333" spans="1:27" hidden="1" x14ac:dyDescent="0.25">
      <c r="A333" t="s">
        <v>25</v>
      </c>
      <c r="B333">
        <f>IF(COUNTIF(dropdown!B$2:B$12,all_inputs!A333)=1,1,IF(COUNTIF(dropdown!C$2:C$4,all_inputs!A333)=1,2,IF(COUNTIF(dropdown!D$2:D$3,all_inputs!A333)=1,3,"?")))</f>
        <v>1</v>
      </c>
      <c r="C333" t="s">
        <v>14</v>
      </c>
      <c r="D333" t="s">
        <v>466</v>
      </c>
      <c r="E333" t="s">
        <v>463</v>
      </c>
      <c r="F333">
        <f>IF(AND(all_inputs!E333=dropdown!AA$8, COUNTIF(dropdown!AA$9:AA$19,all_inputs!A333)=1), dropdown!V$10, 1)</f>
        <v>1</v>
      </c>
      <c r="G333" s="4">
        <f>ui!B$4</f>
        <v>2025</v>
      </c>
      <c r="H333" s="4">
        <f>ui!B$5</f>
        <v>2050</v>
      </c>
      <c r="I333" s="4" t="s">
        <v>93</v>
      </c>
      <c r="J333" s="4" t="str">
        <f>VLOOKUP(ui!B$2,dropdown!M:O,3,FALSE)</f>
        <v>LIC</v>
      </c>
      <c r="K333" s="4"/>
      <c r="L333" s="4"/>
      <c r="M333" s="4"/>
      <c r="N333" s="4">
        <v>1</v>
      </c>
      <c r="O333" s="4"/>
      <c r="P333" s="4"/>
      <c r="Q333" s="4"/>
      <c r="R333" s="4">
        <v>1</v>
      </c>
      <c r="S333" s="4"/>
      <c r="T333" s="4"/>
      <c r="U333" s="4"/>
      <c r="V333" s="4"/>
      <c r="W333" s="4"/>
      <c r="X333" s="4"/>
      <c r="Y333" s="4"/>
      <c r="Z333" s="4"/>
      <c r="AA333" t="b">
        <f>VLOOKUP(all_inputs!E333,ui!A$29:B$33,2,FALSE)</f>
        <v>0</v>
      </c>
    </row>
    <row r="334" spans="1:27" hidden="1" x14ac:dyDescent="0.25">
      <c r="A334" t="s">
        <v>25</v>
      </c>
      <c r="B334">
        <f>IF(COUNTIF(dropdown!B$2:B$12,all_inputs!A334)=1,1,IF(COUNTIF(dropdown!C$2:C$4,all_inputs!A334)=1,2,IF(COUNTIF(dropdown!D$2:D$3,all_inputs!A334)=1,3,"?")))</f>
        <v>1</v>
      </c>
      <c r="C334" t="s">
        <v>15</v>
      </c>
      <c r="D334" t="s">
        <v>466</v>
      </c>
      <c r="E334" t="s">
        <v>463</v>
      </c>
      <c r="F334" s="4">
        <f>IF(AND(all_inputs!E334=dropdown!AA$8, COUNTIF(dropdown!AA$9:AA$19,all_inputs!A334)=1), dropdown!V$11, 1)</f>
        <v>1</v>
      </c>
      <c r="G334" s="4">
        <f>ui!B$4</f>
        <v>2025</v>
      </c>
      <c r="H334" s="4">
        <f>ui!B$5</f>
        <v>2050</v>
      </c>
      <c r="I334" s="4" t="s">
        <v>93</v>
      </c>
      <c r="J334" s="4" t="str">
        <f>VLOOKUP(ui!B$2,dropdown!M:O,3,FALSE)</f>
        <v>LIC</v>
      </c>
      <c r="K334" s="4"/>
      <c r="L334" s="4"/>
      <c r="M334" s="4"/>
      <c r="N334" s="4">
        <v>1</v>
      </c>
      <c r="O334" s="4"/>
      <c r="P334" s="4"/>
      <c r="Q334" s="4"/>
      <c r="R334" s="4">
        <v>1</v>
      </c>
      <c r="S334" s="4"/>
      <c r="T334" s="4"/>
      <c r="U334" s="4"/>
      <c r="V334" s="4"/>
      <c r="W334" s="4"/>
      <c r="X334" s="4"/>
      <c r="Y334" s="4"/>
      <c r="Z334" s="4"/>
      <c r="AA334" t="b">
        <f>VLOOKUP(all_inputs!E334,ui!A$29:B$33,2,FALSE)</f>
        <v>0</v>
      </c>
    </row>
    <row r="335" spans="1:27" hidden="1" x14ac:dyDescent="0.25">
      <c r="A335" t="s">
        <v>25</v>
      </c>
      <c r="B335">
        <f>IF(COUNTIF(dropdown!B$2:B$12,all_inputs!A335)=1,1,IF(COUNTIF(dropdown!C$2:C$4,all_inputs!A335)=1,2,IF(COUNTIF(dropdown!D$2:D$3,all_inputs!A335)=1,3,"?")))</f>
        <v>1</v>
      </c>
      <c r="C335" t="s">
        <v>16</v>
      </c>
      <c r="D335" t="s">
        <v>467</v>
      </c>
      <c r="E335" t="s">
        <v>463</v>
      </c>
      <c r="F335" s="4">
        <f>IF(AND(all_inputs!E335=dropdown!AA$8, COUNTIF(dropdown!AA$9:AA$19,all_inputs!A335)=1), dropdown!V$12, 1)</f>
        <v>1</v>
      </c>
      <c r="G335" s="4">
        <f>ui!B$4</f>
        <v>2025</v>
      </c>
      <c r="H335" s="4">
        <f>ui!B$5</f>
        <v>2050</v>
      </c>
      <c r="I335" s="4" t="s">
        <v>93</v>
      </c>
      <c r="J335" s="4" t="str">
        <f>VLOOKUP(ui!B$2,dropdown!M:O,3,FALSE)</f>
        <v>LIC</v>
      </c>
      <c r="K335" s="4"/>
      <c r="L335" s="4"/>
      <c r="M335" s="4"/>
      <c r="N335" s="4">
        <v>1</v>
      </c>
      <c r="O335" s="4"/>
      <c r="P335" s="4"/>
      <c r="Q335" s="4"/>
      <c r="R335" s="4">
        <v>1</v>
      </c>
      <c r="S335" s="4"/>
      <c r="T335" s="4"/>
      <c r="U335" s="4"/>
      <c r="V335" s="4"/>
      <c r="W335" s="4"/>
      <c r="X335" s="4"/>
      <c r="Y335" s="4"/>
      <c r="Z335" s="4"/>
      <c r="AA335" t="b">
        <f>VLOOKUP(all_inputs!E335,ui!A$29:B$33,2,FALSE)</f>
        <v>0</v>
      </c>
    </row>
    <row r="336" spans="1:27" hidden="1" x14ac:dyDescent="0.25">
      <c r="A336" t="s">
        <v>25</v>
      </c>
      <c r="B336">
        <f>IF(COUNTIF(dropdown!B$2:B$12,all_inputs!A336)=1,1,IF(COUNTIF(dropdown!C$2:C$4,all_inputs!A336)=1,2,IF(COUNTIF(dropdown!D$2:D$3,all_inputs!A336)=1,3,"?")))</f>
        <v>1</v>
      </c>
      <c r="C336" t="s">
        <v>17</v>
      </c>
      <c r="D336" t="s">
        <v>468</v>
      </c>
      <c r="E336" t="s">
        <v>463</v>
      </c>
      <c r="F336" s="4">
        <f>IF(AND(all_inputs!E336=dropdown!AA$8, COUNTIF(dropdown!AA$9:AA$19,all_inputs!A336)=1), dropdown!V$13, 1)</f>
        <v>1</v>
      </c>
      <c r="G336" s="4">
        <f>ui!B$4</f>
        <v>2025</v>
      </c>
      <c r="H336" s="4">
        <f>ui!B$5</f>
        <v>2050</v>
      </c>
      <c r="I336" s="4" t="s">
        <v>93</v>
      </c>
      <c r="J336" s="4" t="str">
        <f>VLOOKUP(ui!B$2,dropdown!M:O,3,FALSE)</f>
        <v>LIC</v>
      </c>
      <c r="K336" s="4"/>
      <c r="L336" s="4"/>
      <c r="M336" s="4"/>
      <c r="N336" s="4">
        <v>1</v>
      </c>
      <c r="O336" s="4"/>
      <c r="P336" s="4"/>
      <c r="Q336" s="4"/>
      <c r="R336" s="4">
        <v>1</v>
      </c>
      <c r="S336" s="4"/>
      <c r="T336" s="4"/>
      <c r="U336" s="4"/>
      <c r="V336" s="4"/>
      <c r="W336" s="4"/>
      <c r="X336" s="4"/>
      <c r="Y336" s="4"/>
      <c r="Z336" s="4"/>
      <c r="AA336" t="b">
        <f>VLOOKUP(all_inputs!E336,ui!A$29:B$33,2,FALSE)</f>
        <v>0</v>
      </c>
    </row>
    <row r="337" spans="1:27" hidden="1" x14ac:dyDescent="0.25">
      <c r="A337" s="2" t="s">
        <v>25</v>
      </c>
      <c r="B337" s="2">
        <f>IF(COUNTIF(dropdown!B$2:B$12,all_inputs!A337)=1,1,IF(COUNTIF(dropdown!C$2:C$4,all_inputs!A337)=1,2,IF(COUNTIF(dropdown!D$2:D$3,all_inputs!A337)=1,3,"?")))</f>
        <v>1</v>
      </c>
      <c r="C337" s="2" t="s">
        <v>18</v>
      </c>
      <c r="D337" s="2" t="s">
        <v>469</v>
      </c>
      <c r="E337" s="2" t="s">
        <v>463</v>
      </c>
      <c r="F337" s="2">
        <f>IF(AND(all_inputs!E337=dropdown!AA$8, COUNTIF(dropdown!AA$9:AA$19,all_inputs!A337)=1), dropdown!V$14, 1)</f>
        <v>1</v>
      </c>
      <c r="G337" s="5">
        <f>ui!B$4</f>
        <v>2025</v>
      </c>
      <c r="H337" s="5">
        <f>ui!B$5</f>
        <v>2050</v>
      </c>
      <c r="I337" s="5" t="s">
        <v>93</v>
      </c>
      <c r="J337" s="5" t="str">
        <f>VLOOKUP(ui!B$2,dropdown!M:O,3,FALSE)</f>
        <v>LIC</v>
      </c>
      <c r="K337" s="5"/>
      <c r="L337" s="5"/>
      <c r="M337" s="5"/>
      <c r="N337" s="5">
        <v>1</v>
      </c>
      <c r="O337" s="5"/>
      <c r="P337" s="5"/>
      <c r="Q337" s="5"/>
      <c r="R337" s="5">
        <v>1</v>
      </c>
      <c r="S337" s="5"/>
      <c r="T337" s="5"/>
      <c r="U337" s="5"/>
      <c r="V337" s="5"/>
      <c r="W337" s="5"/>
      <c r="X337" s="5"/>
      <c r="Y337" s="5"/>
      <c r="Z337" s="5"/>
      <c r="AA337" s="2" t="b">
        <f>VLOOKUP(all_inputs!E337,ui!A$29:B$33,2,FALSE)</f>
        <v>0</v>
      </c>
    </row>
    <row r="338" spans="1:27" hidden="1" x14ac:dyDescent="0.25">
      <c r="A338" t="s">
        <v>26</v>
      </c>
      <c r="B338">
        <f>IF(COUNTIF(dropdown!B$2:B$12,all_inputs!A338)=1,1,IF(COUNTIF(dropdown!C$2:C$4,all_inputs!A338)=1,2,IF(COUNTIF(dropdown!D$2:D$3,all_inputs!A338)=1,3,"?")))</f>
        <v>1</v>
      </c>
      <c r="C338" t="s">
        <v>13</v>
      </c>
      <c r="D338" t="s">
        <v>472</v>
      </c>
      <c r="E338" t="s">
        <v>463</v>
      </c>
      <c r="F338" s="4">
        <f>IF(AND(all_inputs!E338=dropdown!AA$8, COUNTIF(dropdown!AA$9:AA$19,all_inputs!A338)=1), dropdown!V$9, 1)</f>
        <v>1</v>
      </c>
      <c r="G338" s="4">
        <f>ui!B$4</f>
        <v>2025</v>
      </c>
      <c r="H338" s="4">
        <f>ui!B$5</f>
        <v>2050</v>
      </c>
      <c r="I338" s="4" t="s">
        <v>93</v>
      </c>
      <c r="J338" s="4" t="str">
        <f>VLOOKUP(ui!B$2,dropdown!M:O,3,FALSE)</f>
        <v>LIC</v>
      </c>
      <c r="K338" s="4"/>
      <c r="L338" s="4"/>
      <c r="M338" s="4"/>
      <c r="N338" s="4">
        <v>1</v>
      </c>
      <c r="O338" s="4"/>
      <c r="P338" s="4"/>
      <c r="Q338" s="4"/>
      <c r="R338" s="4">
        <v>1</v>
      </c>
      <c r="S338" s="4"/>
      <c r="T338" s="4"/>
      <c r="U338" s="4"/>
      <c r="V338" s="4"/>
      <c r="W338" s="4"/>
      <c r="X338" s="4"/>
      <c r="Y338" s="4"/>
      <c r="Z338" s="4"/>
      <c r="AA338" t="b">
        <f>VLOOKUP(all_inputs!E338,ui!A$29:B$33,2,FALSE)</f>
        <v>0</v>
      </c>
    </row>
    <row r="339" spans="1:27" hidden="1" x14ac:dyDescent="0.25">
      <c r="A339" t="s">
        <v>26</v>
      </c>
      <c r="B339">
        <f>IF(COUNTIF(dropdown!B$2:B$12,all_inputs!A339)=1,1,IF(COUNTIF(dropdown!C$2:C$4,all_inputs!A339)=1,2,IF(COUNTIF(dropdown!D$2:D$3,all_inputs!A339)=1,3,"?")))</f>
        <v>1</v>
      </c>
      <c r="C339" t="s">
        <v>14</v>
      </c>
      <c r="D339" t="s">
        <v>466</v>
      </c>
      <c r="E339" t="s">
        <v>463</v>
      </c>
      <c r="F339">
        <f>IF(AND(all_inputs!E339=dropdown!AA$8, COUNTIF(dropdown!AA$9:AA$19,all_inputs!A339)=1), dropdown!V$10, 1)</f>
        <v>1</v>
      </c>
      <c r="G339" s="4">
        <f>ui!B$4</f>
        <v>2025</v>
      </c>
      <c r="H339" s="4">
        <f>ui!B$5</f>
        <v>2050</v>
      </c>
      <c r="I339" s="4" t="s">
        <v>93</v>
      </c>
      <c r="J339" s="4" t="str">
        <f>VLOOKUP(ui!B$2,dropdown!M:O,3,FALSE)</f>
        <v>LIC</v>
      </c>
      <c r="K339" s="4"/>
      <c r="L339" s="4"/>
      <c r="M339" s="4"/>
      <c r="N339" s="4">
        <v>1</v>
      </c>
      <c r="O339" s="4"/>
      <c r="P339" s="4"/>
      <c r="Q339" s="4"/>
      <c r="R339" s="4">
        <v>1</v>
      </c>
      <c r="S339" s="4"/>
      <c r="T339" s="4"/>
      <c r="U339" s="4"/>
      <c r="V339" s="4"/>
      <c r="W339" s="4"/>
      <c r="X339" s="4"/>
      <c r="Y339" s="4"/>
      <c r="Z339" s="4"/>
      <c r="AA339" t="b">
        <f>VLOOKUP(all_inputs!E339,ui!A$29:B$33,2,FALSE)</f>
        <v>0</v>
      </c>
    </row>
    <row r="340" spans="1:27" hidden="1" x14ac:dyDescent="0.25">
      <c r="A340" t="s">
        <v>26</v>
      </c>
      <c r="B340">
        <f>IF(COUNTIF(dropdown!B$2:B$12,all_inputs!A340)=1,1,IF(COUNTIF(dropdown!C$2:C$4,all_inputs!A340)=1,2,IF(COUNTIF(dropdown!D$2:D$3,all_inputs!A340)=1,3,"?")))</f>
        <v>1</v>
      </c>
      <c r="C340" t="s">
        <v>15</v>
      </c>
      <c r="D340" t="s">
        <v>466</v>
      </c>
      <c r="E340" t="s">
        <v>463</v>
      </c>
      <c r="F340" s="4">
        <f>IF(AND(all_inputs!E340=dropdown!AA$8, COUNTIF(dropdown!AA$9:AA$19,all_inputs!A340)=1), dropdown!V$11, 1)</f>
        <v>1</v>
      </c>
      <c r="G340" s="4">
        <f>ui!B$4</f>
        <v>2025</v>
      </c>
      <c r="H340" s="4">
        <f>ui!B$5</f>
        <v>2050</v>
      </c>
      <c r="I340" s="4" t="s">
        <v>93</v>
      </c>
      <c r="J340" s="4" t="str">
        <f>VLOOKUP(ui!B$2,dropdown!M:O,3,FALSE)</f>
        <v>LIC</v>
      </c>
      <c r="K340" s="4"/>
      <c r="L340" s="4"/>
      <c r="M340" s="4"/>
      <c r="N340" s="4">
        <v>1</v>
      </c>
      <c r="O340" s="4"/>
      <c r="P340" s="4"/>
      <c r="Q340" s="4"/>
      <c r="R340" s="4">
        <v>1</v>
      </c>
      <c r="S340" s="4"/>
      <c r="T340" s="4"/>
      <c r="U340" s="4"/>
      <c r="V340" s="4"/>
      <c r="W340" s="4"/>
      <c r="X340" s="4"/>
      <c r="Y340" s="4"/>
      <c r="Z340" s="4"/>
      <c r="AA340" t="b">
        <f>VLOOKUP(all_inputs!E340,ui!A$29:B$33,2,FALSE)</f>
        <v>0</v>
      </c>
    </row>
    <row r="341" spans="1:27" hidden="1" x14ac:dyDescent="0.25">
      <c r="A341" t="s">
        <v>26</v>
      </c>
      <c r="B341">
        <f>IF(COUNTIF(dropdown!B$2:B$12,all_inputs!A341)=1,1,IF(COUNTIF(dropdown!C$2:C$4,all_inputs!A341)=1,2,IF(COUNTIF(dropdown!D$2:D$3,all_inputs!A341)=1,3,"?")))</f>
        <v>1</v>
      </c>
      <c r="C341" t="s">
        <v>16</v>
      </c>
      <c r="D341" t="s">
        <v>467</v>
      </c>
      <c r="E341" t="s">
        <v>463</v>
      </c>
      <c r="F341" s="4">
        <f>IF(AND(all_inputs!E341=dropdown!AA$8, COUNTIF(dropdown!AA$9:AA$19,all_inputs!A341)=1), dropdown!V$12, 1)</f>
        <v>1</v>
      </c>
      <c r="G341" s="4">
        <f>ui!B$4</f>
        <v>2025</v>
      </c>
      <c r="H341" s="4">
        <f>ui!B$5</f>
        <v>2050</v>
      </c>
      <c r="I341" s="4" t="s">
        <v>93</v>
      </c>
      <c r="J341" s="4" t="str">
        <f>VLOOKUP(ui!B$2,dropdown!M:O,3,FALSE)</f>
        <v>LIC</v>
      </c>
      <c r="K341" s="4"/>
      <c r="L341" s="4"/>
      <c r="M341" s="4"/>
      <c r="N341" s="4">
        <v>1</v>
      </c>
      <c r="O341" s="4"/>
      <c r="P341" s="4"/>
      <c r="Q341" s="4"/>
      <c r="R341" s="4">
        <v>1</v>
      </c>
      <c r="S341" s="4"/>
      <c r="T341" s="4"/>
      <c r="U341" s="4"/>
      <c r="V341" s="4"/>
      <c r="W341" s="4"/>
      <c r="X341" s="4"/>
      <c r="Y341" s="4"/>
      <c r="Z341" s="4"/>
      <c r="AA341" t="b">
        <f>VLOOKUP(all_inputs!E341,ui!A$29:B$33,2,FALSE)</f>
        <v>0</v>
      </c>
    </row>
    <row r="342" spans="1:27" hidden="1" x14ac:dyDescent="0.25">
      <c r="A342" t="s">
        <v>26</v>
      </c>
      <c r="B342">
        <f>IF(COUNTIF(dropdown!B$2:B$12,all_inputs!A342)=1,1,IF(COUNTIF(dropdown!C$2:C$4,all_inputs!A342)=1,2,IF(COUNTIF(dropdown!D$2:D$3,all_inputs!A342)=1,3,"?")))</f>
        <v>1</v>
      </c>
      <c r="C342" t="s">
        <v>17</v>
      </c>
      <c r="D342" t="s">
        <v>468</v>
      </c>
      <c r="E342" t="s">
        <v>463</v>
      </c>
      <c r="F342" s="4">
        <f>IF(AND(all_inputs!E342=dropdown!AA$8, COUNTIF(dropdown!AA$9:AA$19,all_inputs!A342)=1), dropdown!V$13, 1)</f>
        <v>1</v>
      </c>
      <c r="G342" s="4">
        <f>ui!B$4</f>
        <v>2025</v>
      </c>
      <c r="H342" s="4">
        <f>ui!B$5</f>
        <v>2050</v>
      </c>
      <c r="I342" s="4" t="s">
        <v>93</v>
      </c>
      <c r="J342" s="4" t="str">
        <f>VLOOKUP(ui!B$2,dropdown!M:O,3,FALSE)</f>
        <v>LIC</v>
      </c>
      <c r="K342" s="4"/>
      <c r="L342" s="4"/>
      <c r="M342" s="4"/>
      <c r="N342" s="4">
        <v>1</v>
      </c>
      <c r="O342" s="4"/>
      <c r="P342" s="4"/>
      <c r="Q342" s="4"/>
      <c r="R342" s="4">
        <v>1</v>
      </c>
      <c r="S342" s="4"/>
      <c r="T342" s="4"/>
      <c r="U342" s="4"/>
      <c r="V342" s="4"/>
      <c r="W342" s="4"/>
      <c r="X342" s="4"/>
      <c r="Y342" s="4"/>
      <c r="Z342" s="4"/>
      <c r="AA342" t="b">
        <f>VLOOKUP(all_inputs!E342,ui!A$29:B$33,2,FALSE)</f>
        <v>0</v>
      </c>
    </row>
    <row r="343" spans="1:27" hidden="1" x14ac:dyDescent="0.25">
      <c r="A343" s="2" t="s">
        <v>26</v>
      </c>
      <c r="B343" s="2">
        <f>IF(COUNTIF(dropdown!B$2:B$12,all_inputs!A343)=1,1,IF(COUNTIF(dropdown!C$2:C$4,all_inputs!A343)=1,2,IF(COUNTIF(dropdown!D$2:D$3,all_inputs!A343)=1,3,"?")))</f>
        <v>1</v>
      </c>
      <c r="C343" s="2" t="s">
        <v>18</v>
      </c>
      <c r="D343" s="2" t="s">
        <v>469</v>
      </c>
      <c r="E343" s="2" t="s">
        <v>463</v>
      </c>
      <c r="F343" s="2">
        <f>IF(AND(all_inputs!E343=dropdown!AA$8, COUNTIF(dropdown!AA$9:AA$19,all_inputs!A343)=1), dropdown!V$14, 1)</f>
        <v>1</v>
      </c>
      <c r="G343" s="5">
        <f>ui!B$4</f>
        <v>2025</v>
      </c>
      <c r="H343" s="5">
        <f>ui!B$5</f>
        <v>2050</v>
      </c>
      <c r="I343" s="5" t="s">
        <v>93</v>
      </c>
      <c r="J343" s="5" t="str">
        <f>VLOOKUP(ui!B$2,dropdown!M:O,3,FALSE)</f>
        <v>LIC</v>
      </c>
      <c r="K343" s="5"/>
      <c r="L343" s="5"/>
      <c r="M343" s="5"/>
      <c r="N343" s="5">
        <v>1</v>
      </c>
      <c r="O343" s="5"/>
      <c r="P343" s="5"/>
      <c r="Q343" s="5"/>
      <c r="R343" s="5">
        <v>1</v>
      </c>
      <c r="S343" s="5"/>
      <c r="T343" s="5"/>
      <c r="U343" s="5"/>
      <c r="V343" s="5"/>
      <c r="W343" s="5"/>
      <c r="X343" s="5"/>
      <c r="Y343" s="5"/>
      <c r="Z343" s="5"/>
      <c r="AA343" s="2" t="b">
        <f>VLOOKUP(all_inputs!E343,ui!A$29:B$33,2,FALSE)</f>
        <v>0</v>
      </c>
    </row>
    <row r="344" spans="1:27" hidden="1" x14ac:dyDescent="0.25">
      <c r="A344" t="s">
        <v>27</v>
      </c>
      <c r="B344">
        <f>IF(COUNTIF(dropdown!B$2:B$12,all_inputs!A344)=1,1,IF(COUNTIF(dropdown!C$2:C$4,all_inputs!A344)=1,2,IF(COUNTIF(dropdown!D$2:D$3,all_inputs!A344)=1,3,"?")))</f>
        <v>1</v>
      </c>
      <c r="C344" t="s">
        <v>13</v>
      </c>
      <c r="D344" t="s">
        <v>472</v>
      </c>
      <c r="E344" t="s">
        <v>463</v>
      </c>
      <c r="F344" s="4">
        <f>IF(AND(all_inputs!E344=dropdown!AA$8, COUNTIF(dropdown!AA$9:AA$19,all_inputs!A344)=1), dropdown!V$9, 1)</f>
        <v>1</v>
      </c>
      <c r="G344" s="4">
        <f>ui!B$4</f>
        <v>2025</v>
      </c>
      <c r="H344" s="4">
        <f>ui!B$5</f>
        <v>2050</v>
      </c>
      <c r="I344" s="4" t="s">
        <v>93</v>
      </c>
      <c r="J344" s="4" t="str">
        <f>VLOOKUP(ui!B$2,dropdown!M:O,3,FALSE)</f>
        <v>LIC</v>
      </c>
      <c r="K344" s="4"/>
      <c r="L344" s="4"/>
      <c r="M344" s="4"/>
      <c r="N344" s="4">
        <v>1</v>
      </c>
      <c r="O344" s="4"/>
      <c r="P344" s="4"/>
      <c r="Q344" s="4"/>
      <c r="R344" s="4">
        <v>1</v>
      </c>
      <c r="S344" s="4"/>
      <c r="T344" s="4"/>
      <c r="U344" s="4"/>
      <c r="V344" s="4"/>
      <c r="W344" s="4"/>
      <c r="X344" s="4"/>
      <c r="Y344" s="4"/>
      <c r="Z344" s="4"/>
      <c r="AA344" t="b">
        <f>VLOOKUP(all_inputs!E344,ui!A$29:B$33,2,FALSE)</f>
        <v>0</v>
      </c>
    </row>
    <row r="345" spans="1:27" hidden="1" x14ac:dyDescent="0.25">
      <c r="A345" t="s">
        <v>27</v>
      </c>
      <c r="B345">
        <f>IF(COUNTIF(dropdown!B$2:B$12,all_inputs!A345)=1,1,IF(COUNTIF(dropdown!C$2:C$4,all_inputs!A345)=1,2,IF(COUNTIF(dropdown!D$2:D$3,all_inputs!A345)=1,3,"?")))</f>
        <v>1</v>
      </c>
      <c r="C345" t="s">
        <v>14</v>
      </c>
      <c r="D345" t="s">
        <v>466</v>
      </c>
      <c r="E345" t="s">
        <v>463</v>
      </c>
      <c r="F345">
        <f>IF(AND(all_inputs!E345=dropdown!AA$8, COUNTIF(dropdown!AA$9:AA$19,all_inputs!A345)=1), dropdown!V$10, 1)</f>
        <v>1</v>
      </c>
      <c r="G345" s="4">
        <f>ui!B$4</f>
        <v>2025</v>
      </c>
      <c r="H345" s="4">
        <f>ui!B$5</f>
        <v>2050</v>
      </c>
      <c r="I345" s="4" t="s">
        <v>93</v>
      </c>
      <c r="J345" s="4" t="str">
        <f>VLOOKUP(ui!B$2,dropdown!M:O,3,FALSE)</f>
        <v>LIC</v>
      </c>
      <c r="K345" s="4"/>
      <c r="L345" s="4"/>
      <c r="M345" s="4"/>
      <c r="N345" s="4">
        <v>1</v>
      </c>
      <c r="O345" s="4"/>
      <c r="P345" s="4"/>
      <c r="Q345" s="4"/>
      <c r="R345" s="4">
        <v>1</v>
      </c>
      <c r="S345" s="4"/>
      <c r="T345" s="4"/>
      <c r="U345" s="4"/>
      <c r="V345" s="4"/>
      <c r="W345" s="4"/>
      <c r="X345" s="4"/>
      <c r="Y345" s="4"/>
      <c r="Z345" s="4"/>
      <c r="AA345" t="b">
        <f>VLOOKUP(all_inputs!E345,ui!A$29:B$33,2,FALSE)</f>
        <v>0</v>
      </c>
    </row>
    <row r="346" spans="1:27" hidden="1" x14ac:dyDescent="0.25">
      <c r="A346" t="s">
        <v>27</v>
      </c>
      <c r="B346">
        <f>IF(COUNTIF(dropdown!B$2:B$12,all_inputs!A346)=1,1,IF(COUNTIF(dropdown!C$2:C$4,all_inputs!A346)=1,2,IF(COUNTIF(dropdown!D$2:D$3,all_inputs!A346)=1,3,"?")))</f>
        <v>1</v>
      </c>
      <c r="C346" t="s">
        <v>15</v>
      </c>
      <c r="D346" t="s">
        <v>466</v>
      </c>
      <c r="E346" t="s">
        <v>463</v>
      </c>
      <c r="F346" s="4">
        <f>IF(AND(all_inputs!E346=dropdown!AA$8, COUNTIF(dropdown!AA$9:AA$19,all_inputs!A346)=1), dropdown!V$11, 1)</f>
        <v>1</v>
      </c>
      <c r="G346" s="4">
        <f>ui!B$4</f>
        <v>2025</v>
      </c>
      <c r="H346" s="4">
        <f>ui!B$5</f>
        <v>2050</v>
      </c>
      <c r="I346" s="4" t="s">
        <v>93</v>
      </c>
      <c r="J346" s="4" t="str">
        <f>VLOOKUP(ui!B$2,dropdown!M:O,3,FALSE)</f>
        <v>LIC</v>
      </c>
      <c r="K346" s="4"/>
      <c r="L346" s="4"/>
      <c r="M346" s="4"/>
      <c r="N346" s="4">
        <v>1</v>
      </c>
      <c r="O346" s="4"/>
      <c r="P346" s="4"/>
      <c r="Q346" s="4"/>
      <c r="R346" s="4">
        <v>1</v>
      </c>
      <c r="S346" s="4"/>
      <c r="T346" s="4"/>
      <c r="U346" s="4"/>
      <c r="V346" s="4"/>
      <c r="W346" s="4"/>
      <c r="X346" s="4"/>
      <c r="Y346" s="4"/>
      <c r="Z346" s="4"/>
      <c r="AA346" t="b">
        <f>VLOOKUP(all_inputs!E346,ui!A$29:B$33,2,FALSE)</f>
        <v>0</v>
      </c>
    </row>
    <row r="347" spans="1:27" hidden="1" x14ac:dyDescent="0.25">
      <c r="A347" t="s">
        <v>27</v>
      </c>
      <c r="B347">
        <f>IF(COUNTIF(dropdown!B$2:B$12,all_inputs!A347)=1,1,IF(COUNTIF(dropdown!C$2:C$4,all_inputs!A347)=1,2,IF(COUNTIF(dropdown!D$2:D$3,all_inputs!A347)=1,3,"?")))</f>
        <v>1</v>
      </c>
      <c r="C347" t="s">
        <v>16</v>
      </c>
      <c r="D347" t="s">
        <v>467</v>
      </c>
      <c r="E347" t="s">
        <v>463</v>
      </c>
      <c r="F347" s="4">
        <f>IF(AND(all_inputs!E347=dropdown!AA$8, COUNTIF(dropdown!AA$9:AA$19,all_inputs!A347)=1), dropdown!V$12, 1)</f>
        <v>1</v>
      </c>
      <c r="G347" s="4">
        <f>ui!B$4</f>
        <v>2025</v>
      </c>
      <c r="H347" s="4">
        <f>ui!B$5</f>
        <v>2050</v>
      </c>
      <c r="I347" s="4" t="s">
        <v>93</v>
      </c>
      <c r="J347" s="4" t="str">
        <f>VLOOKUP(ui!B$2,dropdown!M:O,3,FALSE)</f>
        <v>LIC</v>
      </c>
      <c r="K347" s="4"/>
      <c r="L347" s="4"/>
      <c r="M347" s="4"/>
      <c r="N347" s="4">
        <v>1</v>
      </c>
      <c r="O347" s="4"/>
      <c r="P347" s="4"/>
      <c r="Q347" s="4"/>
      <c r="R347" s="4">
        <v>1</v>
      </c>
      <c r="S347" s="4"/>
      <c r="T347" s="4"/>
      <c r="U347" s="4"/>
      <c r="V347" s="4"/>
      <c r="W347" s="4"/>
      <c r="X347" s="4"/>
      <c r="Y347" s="4"/>
      <c r="Z347" s="4"/>
      <c r="AA347" t="b">
        <f>VLOOKUP(all_inputs!E347,ui!A$29:B$33,2,FALSE)</f>
        <v>0</v>
      </c>
    </row>
    <row r="348" spans="1:27" hidden="1" x14ac:dyDescent="0.25">
      <c r="A348" t="s">
        <v>27</v>
      </c>
      <c r="B348">
        <f>IF(COUNTIF(dropdown!B$2:B$12,all_inputs!A348)=1,1,IF(COUNTIF(dropdown!C$2:C$4,all_inputs!A348)=1,2,IF(COUNTIF(dropdown!D$2:D$3,all_inputs!A348)=1,3,"?")))</f>
        <v>1</v>
      </c>
      <c r="C348" t="s">
        <v>17</v>
      </c>
      <c r="D348" t="s">
        <v>468</v>
      </c>
      <c r="E348" t="s">
        <v>463</v>
      </c>
      <c r="F348" s="4">
        <f>IF(AND(all_inputs!E348=dropdown!AA$8, COUNTIF(dropdown!AA$9:AA$19,all_inputs!A348)=1), dropdown!V$13, 1)</f>
        <v>1</v>
      </c>
      <c r="G348" s="4">
        <f>ui!B$4</f>
        <v>2025</v>
      </c>
      <c r="H348" s="4">
        <f>ui!B$5</f>
        <v>2050</v>
      </c>
      <c r="I348" s="4" t="s">
        <v>93</v>
      </c>
      <c r="J348" s="4" t="str">
        <f>VLOOKUP(ui!B$2,dropdown!M:O,3,FALSE)</f>
        <v>LIC</v>
      </c>
      <c r="K348" s="4"/>
      <c r="L348" s="4"/>
      <c r="M348" s="4"/>
      <c r="N348" s="4">
        <v>1</v>
      </c>
      <c r="O348" s="4"/>
      <c r="P348" s="4"/>
      <c r="Q348" s="4"/>
      <c r="R348" s="4">
        <v>1</v>
      </c>
      <c r="S348" s="4"/>
      <c r="T348" s="4"/>
      <c r="U348" s="4"/>
      <c r="V348" s="4"/>
      <c r="W348" s="4"/>
      <c r="X348" s="4"/>
      <c r="Y348" s="4"/>
      <c r="Z348" s="4"/>
      <c r="AA348" t="b">
        <f>VLOOKUP(all_inputs!E348,ui!A$29:B$33,2,FALSE)</f>
        <v>0</v>
      </c>
    </row>
    <row r="349" spans="1:27" hidden="1" x14ac:dyDescent="0.25">
      <c r="A349" s="2" t="s">
        <v>27</v>
      </c>
      <c r="B349" s="2">
        <f>IF(COUNTIF(dropdown!B$2:B$12,all_inputs!A349)=1,1,IF(COUNTIF(dropdown!C$2:C$4,all_inputs!A349)=1,2,IF(COUNTIF(dropdown!D$2:D$3,all_inputs!A349)=1,3,"?")))</f>
        <v>1</v>
      </c>
      <c r="C349" s="2" t="s">
        <v>18</v>
      </c>
      <c r="D349" s="2" t="s">
        <v>469</v>
      </c>
      <c r="E349" s="2" t="s">
        <v>463</v>
      </c>
      <c r="F349" s="2">
        <f>IF(AND(all_inputs!E349=dropdown!AA$8, COUNTIF(dropdown!AA$9:AA$19,all_inputs!A349)=1), dropdown!V$14, 1)</f>
        <v>1</v>
      </c>
      <c r="G349" s="5">
        <f>ui!B$4</f>
        <v>2025</v>
      </c>
      <c r="H349" s="5">
        <f>ui!B$5</f>
        <v>2050</v>
      </c>
      <c r="I349" s="5" t="s">
        <v>93</v>
      </c>
      <c r="J349" s="5" t="str">
        <f>VLOOKUP(ui!B$2,dropdown!M:O,3,FALSE)</f>
        <v>LIC</v>
      </c>
      <c r="K349" s="5"/>
      <c r="L349" s="5"/>
      <c r="M349" s="5"/>
      <c r="N349" s="5">
        <v>1</v>
      </c>
      <c r="O349" s="5"/>
      <c r="P349" s="5"/>
      <c r="Q349" s="5"/>
      <c r="R349" s="5">
        <v>1</v>
      </c>
      <c r="S349" s="5"/>
      <c r="T349" s="5"/>
      <c r="U349" s="5"/>
      <c r="V349" s="5"/>
      <c r="W349" s="5"/>
      <c r="X349" s="5"/>
      <c r="Y349" s="5"/>
      <c r="Z349" s="5"/>
      <c r="AA349" s="2" t="b">
        <f>VLOOKUP(all_inputs!E349,ui!A$29:B$33,2,FALSE)</f>
        <v>0</v>
      </c>
    </row>
    <row r="350" spans="1:27" hidden="1" x14ac:dyDescent="0.25">
      <c r="A350" t="s">
        <v>28</v>
      </c>
      <c r="B350">
        <f>IF(COUNTIF(dropdown!B$2:B$12,all_inputs!A350)=1,1,IF(COUNTIF(dropdown!C$2:C$4,all_inputs!A350)=1,2,IF(COUNTIF(dropdown!D$2:D$3,all_inputs!A350)=1,3,"?")))</f>
        <v>1</v>
      </c>
      <c r="C350" t="s">
        <v>13</v>
      </c>
      <c r="D350" t="s">
        <v>472</v>
      </c>
      <c r="E350" t="s">
        <v>463</v>
      </c>
      <c r="F350" s="4">
        <f>IF(AND(all_inputs!E350=dropdown!AA$8, COUNTIF(dropdown!AA$9:AA$19,all_inputs!A350)=1), dropdown!V$9, 1)</f>
        <v>1</v>
      </c>
      <c r="G350" s="4">
        <f>ui!B$4</f>
        <v>2025</v>
      </c>
      <c r="H350" s="4">
        <f>ui!B$5</f>
        <v>2050</v>
      </c>
      <c r="I350" s="4" t="s">
        <v>93</v>
      </c>
      <c r="J350" s="4" t="str">
        <f>VLOOKUP(ui!B$2,dropdown!M:O,3,FALSE)</f>
        <v>LIC</v>
      </c>
      <c r="K350" s="4"/>
      <c r="L350" s="4"/>
      <c r="M350" s="4"/>
      <c r="N350" s="4">
        <v>1</v>
      </c>
      <c r="O350" s="4"/>
      <c r="P350" s="4"/>
      <c r="Q350" s="4"/>
      <c r="R350" s="4">
        <v>1</v>
      </c>
      <c r="S350" s="4"/>
      <c r="T350" s="4"/>
      <c r="U350" s="4"/>
      <c r="V350" s="4"/>
      <c r="W350" s="4"/>
      <c r="X350" s="4"/>
      <c r="Y350" s="4"/>
      <c r="Z350" s="4"/>
      <c r="AA350" t="b">
        <f>VLOOKUP(all_inputs!E350,ui!A$29:B$33,2,FALSE)</f>
        <v>0</v>
      </c>
    </row>
    <row r="351" spans="1:27" hidden="1" x14ac:dyDescent="0.25">
      <c r="A351" t="s">
        <v>28</v>
      </c>
      <c r="B351">
        <f>IF(COUNTIF(dropdown!B$2:B$12,all_inputs!A351)=1,1,IF(COUNTIF(dropdown!C$2:C$4,all_inputs!A351)=1,2,IF(COUNTIF(dropdown!D$2:D$3,all_inputs!A351)=1,3,"?")))</f>
        <v>1</v>
      </c>
      <c r="C351" t="s">
        <v>14</v>
      </c>
      <c r="D351" t="s">
        <v>466</v>
      </c>
      <c r="E351" t="s">
        <v>463</v>
      </c>
      <c r="F351">
        <f>IF(AND(all_inputs!E351=dropdown!AA$8, COUNTIF(dropdown!AA$9:AA$19,all_inputs!A351)=1), dropdown!V$10, 1)</f>
        <v>1</v>
      </c>
      <c r="G351" s="4">
        <f>ui!B$4</f>
        <v>2025</v>
      </c>
      <c r="H351" s="4">
        <f>ui!B$5</f>
        <v>2050</v>
      </c>
      <c r="I351" s="4" t="s">
        <v>93</v>
      </c>
      <c r="J351" s="4" t="str">
        <f>VLOOKUP(ui!B$2,dropdown!M:O,3,FALSE)</f>
        <v>LIC</v>
      </c>
      <c r="K351" s="4"/>
      <c r="L351" s="4"/>
      <c r="M351" s="4"/>
      <c r="N351" s="4">
        <v>1</v>
      </c>
      <c r="O351" s="4"/>
      <c r="P351" s="4"/>
      <c r="Q351" s="4"/>
      <c r="R351" s="4">
        <v>1</v>
      </c>
      <c r="S351" s="4"/>
      <c r="T351" s="4"/>
      <c r="U351" s="4"/>
      <c r="V351" s="4"/>
      <c r="W351" s="4"/>
      <c r="X351" s="4"/>
      <c r="Y351" s="4"/>
      <c r="Z351" s="4"/>
      <c r="AA351" t="b">
        <f>VLOOKUP(all_inputs!E351,ui!A$29:B$33,2,FALSE)</f>
        <v>0</v>
      </c>
    </row>
    <row r="352" spans="1:27" hidden="1" x14ac:dyDescent="0.25">
      <c r="A352" t="s">
        <v>28</v>
      </c>
      <c r="B352">
        <f>IF(COUNTIF(dropdown!B$2:B$12,all_inputs!A352)=1,1,IF(COUNTIF(dropdown!C$2:C$4,all_inputs!A352)=1,2,IF(COUNTIF(dropdown!D$2:D$3,all_inputs!A352)=1,3,"?")))</f>
        <v>1</v>
      </c>
      <c r="C352" t="s">
        <v>15</v>
      </c>
      <c r="D352" t="s">
        <v>466</v>
      </c>
      <c r="E352" t="s">
        <v>463</v>
      </c>
      <c r="F352" s="4">
        <f>IF(AND(all_inputs!E352=dropdown!AA$8, COUNTIF(dropdown!AA$9:AA$19,all_inputs!A352)=1), dropdown!V$11, 1)</f>
        <v>1</v>
      </c>
      <c r="G352" s="4">
        <f>ui!B$4</f>
        <v>2025</v>
      </c>
      <c r="H352" s="4">
        <f>ui!B$5</f>
        <v>2050</v>
      </c>
      <c r="I352" s="4" t="s">
        <v>93</v>
      </c>
      <c r="J352" s="4" t="str">
        <f>VLOOKUP(ui!B$2,dropdown!M:O,3,FALSE)</f>
        <v>LIC</v>
      </c>
      <c r="K352" s="4"/>
      <c r="L352" s="4"/>
      <c r="M352" s="4"/>
      <c r="N352" s="4">
        <v>1</v>
      </c>
      <c r="O352" s="4"/>
      <c r="P352" s="4"/>
      <c r="Q352" s="4"/>
      <c r="R352" s="4">
        <v>1</v>
      </c>
      <c r="S352" s="4"/>
      <c r="T352" s="4"/>
      <c r="U352" s="4"/>
      <c r="V352" s="4"/>
      <c r="W352" s="4"/>
      <c r="X352" s="4"/>
      <c r="Y352" s="4"/>
      <c r="Z352" s="4"/>
      <c r="AA352" t="b">
        <f>VLOOKUP(all_inputs!E352,ui!A$29:B$33,2,FALSE)</f>
        <v>0</v>
      </c>
    </row>
    <row r="353" spans="1:27" hidden="1" x14ac:dyDescent="0.25">
      <c r="A353" t="s">
        <v>28</v>
      </c>
      <c r="B353">
        <f>IF(COUNTIF(dropdown!B$2:B$12,all_inputs!A353)=1,1,IF(COUNTIF(dropdown!C$2:C$4,all_inputs!A353)=1,2,IF(COUNTIF(dropdown!D$2:D$3,all_inputs!A353)=1,3,"?")))</f>
        <v>1</v>
      </c>
      <c r="C353" t="s">
        <v>16</v>
      </c>
      <c r="D353" t="s">
        <v>467</v>
      </c>
      <c r="E353" t="s">
        <v>463</v>
      </c>
      <c r="F353" s="4">
        <f>IF(AND(all_inputs!E353=dropdown!AA$8, COUNTIF(dropdown!AA$9:AA$19,all_inputs!A353)=1), dropdown!V$12, 1)</f>
        <v>1</v>
      </c>
      <c r="G353" s="4">
        <f>ui!B$4</f>
        <v>2025</v>
      </c>
      <c r="H353" s="4">
        <f>ui!B$5</f>
        <v>2050</v>
      </c>
      <c r="I353" s="4" t="s">
        <v>93</v>
      </c>
      <c r="J353" s="4" t="str">
        <f>VLOOKUP(ui!B$2,dropdown!M:O,3,FALSE)</f>
        <v>LIC</v>
      </c>
      <c r="K353" s="4"/>
      <c r="L353" s="4"/>
      <c r="M353" s="4"/>
      <c r="N353" s="4">
        <v>1</v>
      </c>
      <c r="O353" s="4"/>
      <c r="P353" s="4"/>
      <c r="Q353" s="4"/>
      <c r="R353" s="4">
        <v>1</v>
      </c>
      <c r="S353" s="4"/>
      <c r="T353" s="4"/>
      <c r="U353" s="4"/>
      <c r="V353" s="4"/>
      <c r="W353" s="4"/>
      <c r="X353" s="4"/>
      <c r="Y353" s="4"/>
      <c r="Z353" s="4"/>
      <c r="AA353" t="b">
        <f>VLOOKUP(all_inputs!E353,ui!A$29:B$33,2,FALSE)</f>
        <v>0</v>
      </c>
    </row>
    <row r="354" spans="1:27" hidden="1" x14ac:dyDescent="0.25">
      <c r="A354" t="s">
        <v>28</v>
      </c>
      <c r="B354">
        <f>IF(COUNTIF(dropdown!B$2:B$12,all_inputs!A354)=1,1,IF(COUNTIF(dropdown!C$2:C$4,all_inputs!A354)=1,2,IF(COUNTIF(dropdown!D$2:D$3,all_inputs!A354)=1,3,"?")))</f>
        <v>1</v>
      </c>
      <c r="C354" t="s">
        <v>17</v>
      </c>
      <c r="D354" t="s">
        <v>468</v>
      </c>
      <c r="E354" t="s">
        <v>463</v>
      </c>
      <c r="F354" s="4">
        <f>IF(AND(all_inputs!E354=dropdown!AA$8, COUNTIF(dropdown!AA$9:AA$19,all_inputs!A354)=1), dropdown!V$13, 1)</f>
        <v>1</v>
      </c>
      <c r="G354" s="4">
        <f>ui!B$4</f>
        <v>2025</v>
      </c>
      <c r="H354" s="4">
        <f>ui!B$5</f>
        <v>2050</v>
      </c>
      <c r="I354" s="4" t="s">
        <v>93</v>
      </c>
      <c r="J354" s="4" t="str">
        <f>VLOOKUP(ui!B$2,dropdown!M:O,3,FALSE)</f>
        <v>LIC</v>
      </c>
      <c r="K354" s="4"/>
      <c r="L354" s="4"/>
      <c r="M354" s="4"/>
      <c r="N354" s="4">
        <v>1</v>
      </c>
      <c r="O354" s="4"/>
      <c r="P354" s="4"/>
      <c r="Q354" s="4"/>
      <c r="R354" s="4">
        <v>1</v>
      </c>
      <c r="S354" s="4"/>
      <c r="T354" s="4"/>
      <c r="U354" s="4"/>
      <c r="V354" s="4"/>
      <c r="W354" s="4"/>
      <c r="X354" s="4"/>
      <c r="Y354" s="4"/>
      <c r="Z354" s="4"/>
      <c r="AA354" t="b">
        <f>VLOOKUP(all_inputs!E354,ui!A$29:B$33,2,FALSE)</f>
        <v>0</v>
      </c>
    </row>
    <row r="355" spans="1:27" hidden="1" x14ac:dyDescent="0.25">
      <c r="A355" s="2" t="s">
        <v>28</v>
      </c>
      <c r="B355" s="2">
        <f>IF(COUNTIF(dropdown!B$2:B$12,all_inputs!A355)=1,1,IF(COUNTIF(dropdown!C$2:C$4,all_inputs!A355)=1,2,IF(COUNTIF(dropdown!D$2:D$3,all_inputs!A355)=1,3,"?")))</f>
        <v>1</v>
      </c>
      <c r="C355" s="2" t="s">
        <v>18</v>
      </c>
      <c r="D355" s="2" t="s">
        <v>469</v>
      </c>
      <c r="E355" s="2" t="s">
        <v>463</v>
      </c>
      <c r="F355" s="2">
        <f>IF(AND(all_inputs!E355=dropdown!AA$8, COUNTIF(dropdown!AA$9:AA$19,all_inputs!A355)=1), dropdown!V$14, 1)</f>
        <v>1</v>
      </c>
      <c r="G355" s="5">
        <f>ui!B$4</f>
        <v>2025</v>
      </c>
      <c r="H355" s="5">
        <f>ui!B$5</f>
        <v>2050</v>
      </c>
      <c r="I355" s="5" t="s">
        <v>93</v>
      </c>
      <c r="J355" s="5" t="str">
        <f>VLOOKUP(ui!B$2,dropdown!M:O,3,FALSE)</f>
        <v>LIC</v>
      </c>
      <c r="K355" s="5"/>
      <c r="L355" s="5"/>
      <c r="M355" s="5"/>
      <c r="N355" s="5">
        <v>1</v>
      </c>
      <c r="O355" s="5"/>
      <c r="P355" s="5"/>
      <c r="Q355" s="5"/>
      <c r="R355" s="5">
        <v>1</v>
      </c>
      <c r="S355" s="5"/>
      <c r="T355" s="5"/>
      <c r="U355" s="5"/>
      <c r="V355" s="5"/>
      <c r="W355" s="5"/>
      <c r="X355" s="5"/>
      <c r="Y355" s="5"/>
      <c r="Z355" s="5"/>
      <c r="AA355" s="2" t="b">
        <f>VLOOKUP(all_inputs!E355,ui!A$29:B$33,2,FALSE)</f>
        <v>0</v>
      </c>
    </row>
    <row r="356" spans="1:27" hidden="1" x14ac:dyDescent="0.25">
      <c r="A356" t="s">
        <v>29</v>
      </c>
      <c r="B356">
        <f>IF(COUNTIF(dropdown!B$2:B$12,all_inputs!A356)=1,1,IF(COUNTIF(dropdown!C$2:C$4,all_inputs!A356)=1,2,IF(COUNTIF(dropdown!D$2:D$3,all_inputs!A356)=1,3,"?")))</f>
        <v>2</v>
      </c>
      <c r="C356" t="s">
        <v>13</v>
      </c>
      <c r="D356" t="s">
        <v>472</v>
      </c>
      <c r="E356" t="s">
        <v>463</v>
      </c>
      <c r="F356" s="4">
        <f>IF(AND(all_inputs!E356=dropdown!AA$8, COUNTIF(dropdown!AA$9:AA$19,all_inputs!A356)=1), dropdown!V$9, 1)</f>
        <v>1</v>
      </c>
      <c r="G356" s="4">
        <f>ui!B$4</f>
        <v>2025</v>
      </c>
      <c r="H356" s="4">
        <f>ui!B$5</f>
        <v>2050</v>
      </c>
      <c r="I356" s="4" t="s">
        <v>93</v>
      </c>
      <c r="J356" s="4" t="str">
        <f>VLOOKUP(ui!B$2,dropdown!M:O,3,FALSE)</f>
        <v>LIC</v>
      </c>
      <c r="K356" s="4"/>
      <c r="L356" s="4"/>
      <c r="M356" s="4"/>
      <c r="N356" s="4">
        <v>1</v>
      </c>
      <c r="O356" s="4"/>
      <c r="P356" s="4"/>
      <c r="Q356" s="4"/>
      <c r="R356" s="4">
        <v>1</v>
      </c>
      <c r="S356" s="4"/>
      <c r="T356" s="4"/>
      <c r="U356" s="4"/>
      <c r="V356" s="4"/>
      <c r="W356" s="4"/>
      <c r="X356" s="4"/>
      <c r="Y356" s="4"/>
      <c r="Z356" s="4"/>
      <c r="AA356" t="b">
        <f>VLOOKUP(all_inputs!E356,ui!A$29:B$33,2,FALSE)</f>
        <v>0</v>
      </c>
    </row>
    <row r="357" spans="1:27" hidden="1" x14ac:dyDescent="0.25">
      <c r="A357" t="s">
        <v>29</v>
      </c>
      <c r="B357">
        <f>IF(COUNTIF(dropdown!B$2:B$12,all_inputs!A357)=1,1,IF(COUNTIF(dropdown!C$2:C$4,all_inputs!A357)=1,2,IF(COUNTIF(dropdown!D$2:D$3,all_inputs!A357)=1,3,"?")))</f>
        <v>2</v>
      </c>
      <c r="C357" t="s">
        <v>14</v>
      </c>
      <c r="D357" t="s">
        <v>466</v>
      </c>
      <c r="E357" t="s">
        <v>463</v>
      </c>
      <c r="F357">
        <f>IF(AND(all_inputs!E357=dropdown!AA$8, COUNTIF(dropdown!AA$9:AA$19,all_inputs!A357)=1), dropdown!V$10, 1)</f>
        <v>1</v>
      </c>
      <c r="G357" s="4">
        <f>ui!B$4</f>
        <v>2025</v>
      </c>
      <c r="H357" s="4">
        <f>ui!B$5</f>
        <v>2050</v>
      </c>
      <c r="I357" s="4" t="s">
        <v>93</v>
      </c>
      <c r="J357" s="4" t="str">
        <f>VLOOKUP(ui!B$2,dropdown!M:O,3,FALSE)</f>
        <v>LIC</v>
      </c>
      <c r="K357" s="4"/>
      <c r="L357" s="4"/>
      <c r="M357" s="4"/>
      <c r="N357" s="4">
        <v>1</v>
      </c>
      <c r="O357" s="4"/>
      <c r="P357" s="4"/>
      <c r="Q357" s="4"/>
      <c r="R357" s="4">
        <v>1</v>
      </c>
      <c r="S357" s="4"/>
      <c r="T357" s="4"/>
      <c r="U357" s="4"/>
      <c r="V357" s="4"/>
      <c r="W357" s="4"/>
      <c r="X357" s="4"/>
      <c r="Y357" s="4"/>
      <c r="Z357" s="4"/>
      <c r="AA357" t="b">
        <f>VLOOKUP(all_inputs!E357,ui!A$29:B$33,2,FALSE)</f>
        <v>0</v>
      </c>
    </row>
    <row r="358" spans="1:27" hidden="1" x14ac:dyDescent="0.25">
      <c r="A358" t="s">
        <v>29</v>
      </c>
      <c r="B358">
        <f>IF(COUNTIF(dropdown!B$2:B$12,all_inputs!A358)=1,1,IF(COUNTIF(dropdown!C$2:C$4,all_inputs!A358)=1,2,IF(COUNTIF(dropdown!D$2:D$3,all_inputs!A358)=1,3,"?")))</f>
        <v>2</v>
      </c>
      <c r="C358" t="s">
        <v>15</v>
      </c>
      <c r="D358" t="s">
        <v>466</v>
      </c>
      <c r="E358" t="s">
        <v>463</v>
      </c>
      <c r="F358" s="4">
        <f>IF(AND(all_inputs!E358=dropdown!AA$8, COUNTIF(dropdown!AA$9:AA$19,all_inputs!A358)=1), dropdown!V$11, 1)</f>
        <v>1</v>
      </c>
      <c r="G358" s="4">
        <f>ui!B$4</f>
        <v>2025</v>
      </c>
      <c r="H358" s="4">
        <f>ui!B$5</f>
        <v>2050</v>
      </c>
      <c r="I358" s="4" t="s">
        <v>93</v>
      </c>
      <c r="J358" s="4" t="str">
        <f>VLOOKUP(ui!B$2,dropdown!M:O,3,FALSE)</f>
        <v>LIC</v>
      </c>
      <c r="K358" s="4"/>
      <c r="L358" s="4"/>
      <c r="M358" s="4"/>
      <c r="N358" s="4">
        <v>1</v>
      </c>
      <c r="O358" s="4"/>
      <c r="P358" s="4"/>
      <c r="Q358" s="4"/>
      <c r="R358" s="4">
        <v>1</v>
      </c>
      <c r="S358" s="4"/>
      <c r="T358" s="4"/>
      <c r="U358" s="4"/>
      <c r="V358" s="4"/>
      <c r="W358" s="4"/>
      <c r="X358" s="4"/>
      <c r="Y358" s="4"/>
      <c r="Z358" s="4"/>
      <c r="AA358" t="b">
        <f>VLOOKUP(all_inputs!E358,ui!A$29:B$33,2,FALSE)</f>
        <v>0</v>
      </c>
    </row>
    <row r="359" spans="1:27" hidden="1" x14ac:dyDescent="0.25">
      <c r="A359" t="s">
        <v>29</v>
      </c>
      <c r="B359">
        <f>IF(COUNTIF(dropdown!B$2:B$12,all_inputs!A359)=1,1,IF(COUNTIF(dropdown!C$2:C$4,all_inputs!A359)=1,2,IF(COUNTIF(dropdown!D$2:D$3,all_inputs!A359)=1,3,"?")))</f>
        <v>2</v>
      </c>
      <c r="C359" t="s">
        <v>16</v>
      </c>
      <c r="D359" t="s">
        <v>467</v>
      </c>
      <c r="E359" t="s">
        <v>463</v>
      </c>
      <c r="F359">
        <f>IF(AND(all_inputs!E359=dropdown!AA$8, COUNTIF(dropdown!AA$9:AA$19,all_inputs!A359)=1), dropdown!V$12, 1)</f>
        <v>1</v>
      </c>
      <c r="G359" s="4">
        <f>ui!B$4</f>
        <v>2025</v>
      </c>
      <c r="H359" s="4">
        <f>ui!B$5</f>
        <v>2050</v>
      </c>
      <c r="I359" s="4" t="s">
        <v>93</v>
      </c>
      <c r="J359" s="4" t="str">
        <f>VLOOKUP(ui!B$2,dropdown!M:O,3,FALSE)</f>
        <v>LIC</v>
      </c>
      <c r="K359" s="4"/>
      <c r="L359" s="4"/>
      <c r="M359" s="4"/>
      <c r="N359" s="4">
        <v>1</v>
      </c>
      <c r="O359" s="4"/>
      <c r="P359" s="4"/>
      <c r="Q359" s="4"/>
      <c r="R359" s="4">
        <v>1</v>
      </c>
      <c r="S359" s="4"/>
      <c r="T359" s="4"/>
      <c r="U359" s="4"/>
      <c r="V359" s="4"/>
      <c r="W359" s="4"/>
      <c r="X359" s="4"/>
      <c r="Y359" s="4"/>
      <c r="Z359" s="4"/>
      <c r="AA359" t="b">
        <f>VLOOKUP(all_inputs!E359,ui!A$29:B$33,2,FALSE)</f>
        <v>0</v>
      </c>
    </row>
    <row r="360" spans="1:27" hidden="1" x14ac:dyDescent="0.25">
      <c r="A360" t="s">
        <v>29</v>
      </c>
      <c r="B360">
        <f>IF(COUNTIF(dropdown!B$2:B$12,all_inputs!A360)=1,1,IF(COUNTIF(dropdown!C$2:C$4,all_inputs!A360)=1,2,IF(COUNTIF(dropdown!D$2:D$3,all_inputs!A360)=1,3,"?")))</f>
        <v>2</v>
      </c>
      <c r="C360" t="s">
        <v>17</v>
      </c>
      <c r="D360" t="s">
        <v>468</v>
      </c>
      <c r="E360" t="s">
        <v>463</v>
      </c>
      <c r="F360">
        <f>IF(AND(all_inputs!E360=dropdown!AA$8, COUNTIF(dropdown!AA$9:AA$19,all_inputs!A360)=1), dropdown!V$13, 1)</f>
        <v>1</v>
      </c>
      <c r="G360" s="4">
        <f>ui!B$4</f>
        <v>2025</v>
      </c>
      <c r="H360" s="4">
        <f>ui!B$5</f>
        <v>2050</v>
      </c>
      <c r="I360" s="4" t="s">
        <v>93</v>
      </c>
      <c r="J360" s="4" t="str">
        <f>VLOOKUP(ui!B$2,dropdown!M:O,3,FALSE)</f>
        <v>LIC</v>
      </c>
      <c r="K360" s="4"/>
      <c r="L360" s="4"/>
      <c r="M360" s="4"/>
      <c r="N360" s="4">
        <v>1</v>
      </c>
      <c r="O360" s="4"/>
      <c r="P360" s="4"/>
      <c r="Q360" s="4"/>
      <c r="R360" s="4">
        <v>1</v>
      </c>
      <c r="S360" s="4"/>
      <c r="T360" s="4"/>
      <c r="U360" s="4"/>
      <c r="V360" s="4"/>
      <c r="W360" s="4"/>
      <c r="X360" s="4"/>
      <c r="Y360" s="4"/>
      <c r="Z360" s="4"/>
      <c r="AA360" t="b">
        <f>VLOOKUP(all_inputs!E360,ui!A$29:B$33,2,FALSE)</f>
        <v>0</v>
      </c>
    </row>
    <row r="361" spans="1:27" hidden="1" x14ac:dyDescent="0.25">
      <c r="A361" s="2" t="s">
        <v>29</v>
      </c>
      <c r="B361" s="2">
        <f>IF(COUNTIF(dropdown!B$2:B$12,all_inputs!A361)=1,1,IF(COUNTIF(dropdown!C$2:C$4,all_inputs!A361)=1,2,IF(COUNTIF(dropdown!D$2:D$3,all_inputs!A361)=1,3,"?")))</f>
        <v>2</v>
      </c>
      <c r="C361" s="2" t="s">
        <v>18</v>
      </c>
      <c r="D361" s="2" t="s">
        <v>469</v>
      </c>
      <c r="E361" s="2" t="s">
        <v>463</v>
      </c>
      <c r="F361" s="2">
        <f>IF(AND(all_inputs!E361=dropdown!AA$8, COUNTIF(dropdown!AA$9:AA$19,all_inputs!A361)=1), dropdown!V$14, 1)</f>
        <v>1</v>
      </c>
      <c r="G361" s="5">
        <f>ui!B$4</f>
        <v>2025</v>
      </c>
      <c r="H361" s="5">
        <f>ui!B$5</f>
        <v>2050</v>
      </c>
      <c r="I361" s="5" t="s">
        <v>93</v>
      </c>
      <c r="J361" s="5" t="str">
        <f>VLOOKUP(ui!B$2,dropdown!M:O,3,FALSE)</f>
        <v>LIC</v>
      </c>
      <c r="K361" s="5"/>
      <c r="L361" s="5"/>
      <c r="M361" s="5"/>
      <c r="N361" s="5">
        <v>1</v>
      </c>
      <c r="O361" s="5"/>
      <c r="P361" s="5"/>
      <c r="Q361" s="5"/>
      <c r="R361" s="5">
        <v>1</v>
      </c>
      <c r="S361" s="5"/>
      <c r="T361" s="5"/>
      <c r="U361" s="5"/>
      <c r="V361" s="5"/>
      <c r="W361" s="5"/>
      <c r="X361" s="5"/>
      <c r="Y361" s="5"/>
      <c r="Z361" s="5"/>
      <c r="AA361" s="2" t="b">
        <f>VLOOKUP(all_inputs!E361,ui!A$29:B$33,2,FALSE)</f>
        <v>0</v>
      </c>
    </row>
    <row r="362" spans="1:27" hidden="1" x14ac:dyDescent="0.25">
      <c r="A362" t="s">
        <v>30</v>
      </c>
      <c r="B362">
        <f>IF(COUNTIF(dropdown!B$2:B$12,all_inputs!A362)=1,1,IF(COUNTIF(dropdown!C$2:C$4,all_inputs!A362)=1,2,IF(COUNTIF(dropdown!D$2:D$3,all_inputs!A362)=1,3,"?")))</f>
        <v>1</v>
      </c>
      <c r="C362" t="s">
        <v>13</v>
      </c>
      <c r="D362" t="s">
        <v>472</v>
      </c>
      <c r="E362" t="s">
        <v>463</v>
      </c>
      <c r="F362" s="4">
        <f>IF(AND(all_inputs!E362=dropdown!AA$8, COUNTIF(dropdown!AA$9:AA$19,all_inputs!A362)=1), dropdown!V$9, 1)</f>
        <v>1</v>
      </c>
      <c r="G362" s="4">
        <f>ui!B$4</f>
        <v>2025</v>
      </c>
      <c r="H362" s="4">
        <f>ui!B$5</f>
        <v>2050</v>
      </c>
      <c r="I362" s="4" t="s">
        <v>93</v>
      </c>
      <c r="J362" s="4" t="str">
        <f>VLOOKUP(ui!B$2,dropdown!M:O,3,FALSE)</f>
        <v>LIC</v>
      </c>
      <c r="K362" s="4"/>
      <c r="L362" s="4"/>
      <c r="M362" s="4"/>
      <c r="N362" s="4">
        <v>1</v>
      </c>
      <c r="O362" s="4"/>
      <c r="P362" s="4"/>
      <c r="Q362" s="4"/>
      <c r="R362" s="4">
        <v>1</v>
      </c>
      <c r="S362" s="4"/>
      <c r="T362" s="4"/>
      <c r="U362" s="4"/>
      <c r="V362" s="4"/>
      <c r="W362" s="4"/>
      <c r="X362" s="4"/>
      <c r="Y362" s="4"/>
      <c r="Z362" s="4"/>
      <c r="AA362" t="b">
        <f>VLOOKUP(all_inputs!E362,ui!A$29:B$33,2,FALSE)</f>
        <v>0</v>
      </c>
    </row>
    <row r="363" spans="1:27" hidden="1" x14ac:dyDescent="0.25">
      <c r="A363" t="s">
        <v>30</v>
      </c>
      <c r="B363">
        <f>IF(COUNTIF(dropdown!B$2:B$12,all_inputs!A363)=1,1,IF(COUNTIF(dropdown!C$2:C$4,all_inputs!A363)=1,2,IF(COUNTIF(dropdown!D$2:D$3,all_inputs!A363)=1,3,"?")))</f>
        <v>1</v>
      </c>
      <c r="C363" t="s">
        <v>14</v>
      </c>
      <c r="D363" t="s">
        <v>466</v>
      </c>
      <c r="E363" t="s">
        <v>463</v>
      </c>
      <c r="F363">
        <f>IF(AND(all_inputs!E363=dropdown!AA$8, COUNTIF(dropdown!AA$9:AA$19,all_inputs!A363)=1), dropdown!V$10, 1)</f>
        <v>1</v>
      </c>
      <c r="G363" s="4">
        <f>ui!B$4</f>
        <v>2025</v>
      </c>
      <c r="H363" s="4">
        <f>ui!B$5</f>
        <v>2050</v>
      </c>
      <c r="I363" s="4" t="s">
        <v>93</v>
      </c>
      <c r="J363" s="4" t="str">
        <f>VLOOKUP(ui!B$2,dropdown!M:O,3,FALSE)</f>
        <v>LIC</v>
      </c>
      <c r="K363" s="4"/>
      <c r="L363" s="4"/>
      <c r="M363" s="4"/>
      <c r="N363" s="4">
        <v>1</v>
      </c>
      <c r="O363" s="4"/>
      <c r="P363" s="4"/>
      <c r="Q363" s="4"/>
      <c r="R363" s="4">
        <v>1</v>
      </c>
      <c r="S363" s="4"/>
      <c r="T363" s="4"/>
      <c r="U363" s="4"/>
      <c r="V363" s="4"/>
      <c r="W363" s="4"/>
      <c r="X363" s="4"/>
      <c r="Y363" s="4"/>
      <c r="Z363" s="4"/>
      <c r="AA363" t="b">
        <f>VLOOKUP(all_inputs!E363,ui!A$29:B$33,2,FALSE)</f>
        <v>0</v>
      </c>
    </row>
    <row r="364" spans="1:27" hidden="1" x14ac:dyDescent="0.25">
      <c r="A364" t="s">
        <v>30</v>
      </c>
      <c r="B364">
        <f>IF(COUNTIF(dropdown!B$2:B$12,all_inputs!A364)=1,1,IF(COUNTIF(dropdown!C$2:C$4,all_inputs!A364)=1,2,IF(COUNTIF(dropdown!D$2:D$3,all_inputs!A364)=1,3,"?")))</f>
        <v>1</v>
      </c>
      <c r="C364" t="s">
        <v>15</v>
      </c>
      <c r="D364" t="s">
        <v>466</v>
      </c>
      <c r="E364" t="s">
        <v>463</v>
      </c>
      <c r="F364" s="4">
        <f>IF(AND(all_inputs!E364=dropdown!AA$8, COUNTIF(dropdown!AA$9:AA$19,all_inputs!A364)=1), dropdown!V$11, 1)</f>
        <v>1</v>
      </c>
      <c r="G364" s="4">
        <f>ui!B$4</f>
        <v>2025</v>
      </c>
      <c r="H364" s="4">
        <f>ui!B$5</f>
        <v>2050</v>
      </c>
      <c r="I364" s="4" t="s">
        <v>93</v>
      </c>
      <c r="J364" s="4" t="str">
        <f>VLOOKUP(ui!B$2,dropdown!M:O,3,FALSE)</f>
        <v>LIC</v>
      </c>
      <c r="K364" s="4"/>
      <c r="L364" s="4"/>
      <c r="M364" s="4"/>
      <c r="N364" s="4">
        <v>1</v>
      </c>
      <c r="O364" s="4"/>
      <c r="P364" s="4"/>
      <c r="Q364" s="4"/>
      <c r="R364" s="4">
        <v>1</v>
      </c>
      <c r="S364" s="4"/>
      <c r="T364" s="4"/>
      <c r="U364" s="4"/>
      <c r="V364" s="4"/>
      <c r="W364" s="4"/>
      <c r="X364" s="4"/>
      <c r="Y364" s="4"/>
      <c r="Z364" s="4"/>
      <c r="AA364" t="b">
        <f>VLOOKUP(all_inputs!E364,ui!A$29:B$33,2,FALSE)</f>
        <v>0</v>
      </c>
    </row>
    <row r="365" spans="1:27" hidden="1" x14ac:dyDescent="0.25">
      <c r="A365" t="s">
        <v>30</v>
      </c>
      <c r="B365">
        <f>IF(COUNTIF(dropdown!B$2:B$12,all_inputs!A365)=1,1,IF(COUNTIF(dropdown!C$2:C$4,all_inputs!A365)=1,2,IF(COUNTIF(dropdown!D$2:D$3,all_inputs!A365)=1,3,"?")))</f>
        <v>1</v>
      </c>
      <c r="C365" t="s">
        <v>16</v>
      </c>
      <c r="D365" t="s">
        <v>467</v>
      </c>
      <c r="E365" t="s">
        <v>463</v>
      </c>
      <c r="F365" s="4">
        <f>IF(AND(all_inputs!E365=dropdown!AA$8, COUNTIF(dropdown!AA$9:AA$19,all_inputs!A365)=1), dropdown!V$12, 1)</f>
        <v>1</v>
      </c>
      <c r="G365" s="4">
        <f>ui!B$4</f>
        <v>2025</v>
      </c>
      <c r="H365" s="4">
        <f>ui!B$5</f>
        <v>2050</v>
      </c>
      <c r="I365" s="4" t="s">
        <v>93</v>
      </c>
      <c r="J365" s="4" t="str">
        <f>VLOOKUP(ui!B$2,dropdown!M:O,3,FALSE)</f>
        <v>LIC</v>
      </c>
      <c r="K365" s="4"/>
      <c r="L365" s="4"/>
      <c r="M365" s="4"/>
      <c r="N365" s="4">
        <v>1</v>
      </c>
      <c r="O365" s="4"/>
      <c r="P365" s="4"/>
      <c r="Q365" s="4"/>
      <c r="R365" s="4">
        <v>1</v>
      </c>
      <c r="S365" s="4"/>
      <c r="T365" s="4"/>
      <c r="U365" s="4"/>
      <c r="V365" s="4"/>
      <c r="W365" s="4"/>
      <c r="X365" s="4"/>
      <c r="Y365" s="4"/>
      <c r="Z365" s="4"/>
      <c r="AA365" t="b">
        <f>VLOOKUP(all_inputs!E365,ui!A$29:B$33,2,FALSE)</f>
        <v>0</v>
      </c>
    </row>
    <row r="366" spans="1:27" hidden="1" x14ac:dyDescent="0.25">
      <c r="A366" t="s">
        <v>30</v>
      </c>
      <c r="B366">
        <f>IF(COUNTIF(dropdown!B$2:B$12,all_inputs!A366)=1,1,IF(COUNTIF(dropdown!C$2:C$4,all_inputs!A366)=1,2,IF(COUNTIF(dropdown!D$2:D$3,all_inputs!A366)=1,3,"?")))</f>
        <v>1</v>
      </c>
      <c r="C366" t="s">
        <v>17</v>
      </c>
      <c r="D366" t="s">
        <v>468</v>
      </c>
      <c r="E366" t="s">
        <v>463</v>
      </c>
      <c r="F366" s="4">
        <f>IF(AND(all_inputs!E366=dropdown!AA$8, COUNTIF(dropdown!AA$9:AA$19,all_inputs!A366)=1), dropdown!V$13, 1)</f>
        <v>1</v>
      </c>
      <c r="G366" s="4">
        <f>ui!B$4</f>
        <v>2025</v>
      </c>
      <c r="H366" s="4">
        <f>ui!B$5</f>
        <v>2050</v>
      </c>
      <c r="I366" s="4" t="s">
        <v>93</v>
      </c>
      <c r="J366" s="4" t="str">
        <f>VLOOKUP(ui!B$2,dropdown!M:O,3,FALSE)</f>
        <v>LIC</v>
      </c>
      <c r="K366" s="4"/>
      <c r="L366" s="4"/>
      <c r="M366" s="4"/>
      <c r="N366" s="4">
        <v>1</v>
      </c>
      <c r="O366" s="4"/>
      <c r="P366" s="4"/>
      <c r="Q366" s="4"/>
      <c r="R366" s="4">
        <v>1</v>
      </c>
      <c r="S366" s="4"/>
      <c r="T366" s="4"/>
      <c r="U366" s="4"/>
      <c r="V366" s="4"/>
      <c r="W366" s="4"/>
      <c r="X366" s="4"/>
      <c r="Y366" s="4"/>
      <c r="Z366" s="4"/>
      <c r="AA366" t="b">
        <f>VLOOKUP(all_inputs!E366,ui!A$29:B$33,2,FALSE)</f>
        <v>0</v>
      </c>
    </row>
    <row r="367" spans="1:27" hidden="1" x14ac:dyDescent="0.25">
      <c r="A367" s="2" t="s">
        <v>30</v>
      </c>
      <c r="B367" s="2">
        <f>IF(COUNTIF(dropdown!B$2:B$12,all_inputs!A367)=1,1,IF(COUNTIF(dropdown!C$2:C$4,all_inputs!A367)=1,2,IF(COUNTIF(dropdown!D$2:D$3,all_inputs!A367)=1,3,"?")))</f>
        <v>1</v>
      </c>
      <c r="C367" s="2" t="s">
        <v>18</v>
      </c>
      <c r="D367" s="2" t="s">
        <v>469</v>
      </c>
      <c r="E367" s="2" t="s">
        <v>463</v>
      </c>
      <c r="F367" s="2">
        <f>IF(AND(all_inputs!E367=dropdown!AA$8, COUNTIF(dropdown!AA$9:AA$19,all_inputs!A367)=1), dropdown!V$14, 1)</f>
        <v>1</v>
      </c>
      <c r="G367" s="5">
        <f>ui!B$4</f>
        <v>2025</v>
      </c>
      <c r="H367" s="5">
        <f>ui!B$5</f>
        <v>2050</v>
      </c>
      <c r="I367" s="5" t="s">
        <v>93</v>
      </c>
      <c r="J367" s="5" t="str">
        <f>VLOOKUP(ui!B$2,dropdown!M:O,3,FALSE)</f>
        <v>LIC</v>
      </c>
      <c r="K367" s="5"/>
      <c r="L367" s="5"/>
      <c r="M367" s="5"/>
      <c r="N367" s="5">
        <v>1</v>
      </c>
      <c r="O367" s="5"/>
      <c r="P367" s="5"/>
      <c r="Q367" s="5"/>
      <c r="R367" s="5">
        <v>1</v>
      </c>
      <c r="S367" s="5"/>
      <c r="T367" s="5"/>
      <c r="U367" s="5"/>
      <c r="V367" s="5"/>
      <c r="W367" s="5"/>
      <c r="X367" s="5"/>
      <c r="Y367" s="5"/>
      <c r="Z367" s="5"/>
      <c r="AA367" s="2" t="b">
        <f>VLOOKUP(all_inputs!E367,ui!A$29:B$33,2,FALSE)</f>
        <v>0</v>
      </c>
    </row>
    <row r="368" spans="1:27" hidden="1" x14ac:dyDescent="0.25">
      <c r="A368" t="s">
        <v>31</v>
      </c>
      <c r="B368">
        <f>IF(COUNTIF(dropdown!B$2:B$12,all_inputs!A368)=1,1,IF(COUNTIF(dropdown!C$2:C$4,all_inputs!A368)=1,2,IF(COUNTIF(dropdown!D$2:D$3,all_inputs!A368)=1,3,"?")))</f>
        <v>1</v>
      </c>
      <c r="C368" t="s">
        <v>13</v>
      </c>
      <c r="D368" t="s">
        <v>472</v>
      </c>
      <c r="E368" t="s">
        <v>463</v>
      </c>
      <c r="F368" s="4">
        <f>IF(AND(all_inputs!E368=dropdown!AA$8, COUNTIF(dropdown!AA$9:AA$19,all_inputs!A368)=1), dropdown!V$9, 1)</f>
        <v>1</v>
      </c>
      <c r="G368" s="4">
        <f>ui!B$4</f>
        <v>2025</v>
      </c>
      <c r="H368" s="4">
        <f>ui!B$5</f>
        <v>2050</v>
      </c>
      <c r="I368" s="4" t="s">
        <v>93</v>
      </c>
      <c r="J368" s="4" t="str">
        <f>VLOOKUP(ui!B$2,dropdown!M:O,3,FALSE)</f>
        <v>LIC</v>
      </c>
      <c r="K368" s="4"/>
      <c r="L368" s="4"/>
      <c r="M368" s="4"/>
      <c r="N368" s="4">
        <v>1</v>
      </c>
      <c r="O368" s="4"/>
      <c r="P368" s="4"/>
      <c r="Q368" s="4"/>
      <c r="R368" s="4">
        <v>1</v>
      </c>
      <c r="S368" s="4"/>
      <c r="T368" s="4"/>
      <c r="U368" s="4"/>
      <c r="V368" s="4"/>
      <c r="W368" s="4"/>
      <c r="X368" s="4"/>
      <c r="Y368" s="4"/>
      <c r="Z368" s="4"/>
      <c r="AA368" t="b">
        <f>VLOOKUP(all_inputs!E368,ui!A$29:B$33,2,FALSE)</f>
        <v>0</v>
      </c>
    </row>
    <row r="369" spans="1:27" hidden="1" x14ac:dyDescent="0.25">
      <c r="A369" t="s">
        <v>31</v>
      </c>
      <c r="B369">
        <f>IF(COUNTIF(dropdown!B$2:B$12,all_inputs!A369)=1,1,IF(COUNTIF(dropdown!C$2:C$4,all_inputs!A369)=1,2,IF(COUNTIF(dropdown!D$2:D$3,all_inputs!A369)=1,3,"?")))</f>
        <v>1</v>
      </c>
      <c r="C369" t="s">
        <v>14</v>
      </c>
      <c r="D369" t="s">
        <v>466</v>
      </c>
      <c r="E369" t="s">
        <v>463</v>
      </c>
      <c r="F369">
        <f>IF(AND(all_inputs!E369=dropdown!AA$8, COUNTIF(dropdown!AA$9:AA$19,all_inputs!A369)=1), dropdown!V$10, 1)</f>
        <v>1</v>
      </c>
      <c r="G369" s="4">
        <f>ui!B$4</f>
        <v>2025</v>
      </c>
      <c r="H369" s="4">
        <f>ui!B$5</f>
        <v>2050</v>
      </c>
      <c r="I369" s="4" t="s">
        <v>93</v>
      </c>
      <c r="J369" s="4" t="str">
        <f>VLOOKUP(ui!B$2,dropdown!M:O,3,FALSE)</f>
        <v>LIC</v>
      </c>
      <c r="K369" s="4"/>
      <c r="L369" s="4"/>
      <c r="M369" s="4"/>
      <c r="N369" s="4">
        <v>1</v>
      </c>
      <c r="O369" s="4"/>
      <c r="P369" s="4"/>
      <c r="Q369" s="4"/>
      <c r="R369" s="4">
        <v>1</v>
      </c>
      <c r="S369" s="4"/>
      <c r="T369" s="4"/>
      <c r="U369" s="4"/>
      <c r="V369" s="4"/>
      <c r="W369" s="4"/>
      <c r="X369" s="4"/>
      <c r="Y369" s="4"/>
      <c r="Z369" s="4"/>
      <c r="AA369" t="b">
        <f>VLOOKUP(all_inputs!E369,ui!A$29:B$33,2,FALSE)</f>
        <v>0</v>
      </c>
    </row>
    <row r="370" spans="1:27" hidden="1" x14ac:dyDescent="0.25">
      <c r="A370" t="s">
        <v>31</v>
      </c>
      <c r="B370">
        <f>IF(COUNTIF(dropdown!B$2:B$12,all_inputs!A370)=1,1,IF(COUNTIF(dropdown!C$2:C$4,all_inputs!A370)=1,2,IF(COUNTIF(dropdown!D$2:D$3,all_inputs!A370)=1,3,"?")))</f>
        <v>1</v>
      </c>
      <c r="C370" t="s">
        <v>15</v>
      </c>
      <c r="D370" t="s">
        <v>466</v>
      </c>
      <c r="E370" t="s">
        <v>463</v>
      </c>
      <c r="F370" s="4">
        <f>IF(AND(all_inputs!E370=dropdown!AA$8, COUNTIF(dropdown!AA$9:AA$19,all_inputs!A370)=1), dropdown!V$11, 1)</f>
        <v>1</v>
      </c>
      <c r="G370" s="4">
        <f>ui!B$4</f>
        <v>2025</v>
      </c>
      <c r="H370" s="4">
        <f>ui!B$5</f>
        <v>2050</v>
      </c>
      <c r="I370" s="4" t="s">
        <v>93</v>
      </c>
      <c r="J370" s="4" t="str">
        <f>VLOOKUP(ui!B$2,dropdown!M:O,3,FALSE)</f>
        <v>LIC</v>
      </c>
      <c r="K370" s="4"/>
      <c r="L370" s="4"/>
      <c r="M370" s="4"/>
      <c r="N370" s="4">
        <v>1</v>
      </c>
      <c r="O370" s="4"/>
      <c r="P370" s="4"/>
      <c r="Q370" s="4"/>
      <c r="R370" s="4">
        <v>1</v>
      </c>
      <c r="S370" s="4"/>
      <c r="T370" s="4"/>
      <c r="U370" s="4"/>
      <c r="V370" s="4"/>
      <c r="W370" s="4"/>
      <c r="X370" s="4"/>
      <c r="Y370" s="4"/>
      <c r="Z370" s="4"/>
      <c r="AA370" t="b">
        <f>VLOOKUP(all_inputs!E370,ui!A$29:B$33,2,FALSE)</f>
        <v>0</v>
      </c>
    </row>
    <row r="371" spans="1:27" hidden="1" x14ac:dyDescent="0.25">
      <c r="A371" t="s">
        <v>31</v>
      </c>
      <c r="B371">
        <f>IF(COUNTIF(dropdown!B$2:B$12,all_inputs!A371)=1,1,IF(COUNTIF(dropdown!C$2:C$4,all_inputs!A371)=1,2,IF(COUNTIF(dropdown!D$2:D$3,all_inputs!A371)=1,3,"?")))</f>
        <v>1</v>
      </c>
      <c r="C371" t="s">
        <v>16</v>
      </c>
      <c r="D371" t="s">
        <v>467</v>
      </c>
      <c r="E371" t="s">
        <v>463</v>
      </c>
      <c r="F371">
        <f>IF(AND(all_inputs!E371=dropdown!AA$8, COUNTIF(dropdown!AA$9:AA$19,all_inputs!A371)=1), dropdown!V$12, 1)</f>
        <v>1</v>
      </c>
      <c r="G371" s="4">
        <f>ui!B$4</f>
        <v>2025</v>
      </c>
      <c r="H371" s="4">
        <f>ui!B$5</f>
        <v>2050</v>
      </c>
      <c r="I371" s="4" t="s">
        <v>93</v>
      </c>
      <c r="J371" s="4" t="str">
        <f>VLOOKUP(ui!B$2,dropdown!M:O,3,FALSE)</f>
        <v>LIC</v>
      </c>
      <c r="K371" s="4"/>
      <c r="L371" s="4"/>
      <c r="M371" s="4"/>
      <c r="N371" s="4">
        <v>1</v>
      </c>
      <c r="O371" s="4"/>
      <c r="P371" s="4"/>
      <c r="Q371" s="4"/>
      <c r="R371" s="4">
        <v>1</v>
      </c>
      <c r="S371" s="4"/>
      <c r="T371" s="4"/>
      <c r="U371" s="4"/>
      <c r="V371" s="4"/>
      <c r="W371" s="4"/>
      <c r="X371" s="4"/>
      <c r="Y371" s="4"/>
      <c r="Z371" s="4"/>
      <c r="AA371" t="b">
        <f>VLOOKUP(all_inputs!E371,ui!A$29:B$33,2,FALSE)</f>
        <v>0</v>
      </c>
    </row>
    <row r="372" spans="1:27" hidden="1" x14ac:dyDescent="0.25">
      <c r="A372" t="s">
        <v>31</v>
      </c>
      <c r="B372">
        <f>IF(COUNTIF(dropdown!B$2:B$12,all_inputs!A372)=1,1,IF(COUNTIF(dropdown!C$2:C$4,all_inputs!A372)=1,2,IF(COUNTIF(dropdown!D$2:D$3,all_inputs!A372)=1,3,"?")))</f>
        <v>1</v>
      </c>
      <c r="C372" t="s">
        <v>17</v>
      </c>
      <c r="D372" t="s">
        <v>468</v>
      </c>
      <c r="E372" t="s">
        <v>463</v>
      </c>
      <c r="F372">
        <f>IF(AND(all_inputs!E372=dropdown!AA$8, COUNTIF(dropdown!AA$9:AA$19,all_inputs!A372)=1), dropdown!V$13, 1)</f>
        <v>1</v>
      </c>
      <c r="G372" s="4">
        <f>ui!B$4</f>
        <v>2025</v>
      </c>
      <c r="H372" s="4">
        <f>ui!B$5</f>
        <v>2050</v>
      </c>
      <c r="I372" s="4" t="s">
        <v>93</v>
      </c>
      <c r="J372" s="4" t="str">
        <f>VLOOKUP(ui!B$2,dropdown!M:O,3,FALSE)</f>
        <v>LIC</v>
      </c>
      <c r="K372" s="4"/>
      <c r="L372" s="4"/>
      <c r="M372" s="4"/>
      <c r="N372" s="4">
        <v>1</v>
      </c>
      <c r="O372" s="4"/>
      <c r="P372" s="4"/>
      <c r="Q372" s="4"/>
      <c r="R372" s="4">
        <v>1</v>
      </c>
      <c r="S372" s="4"/>
      <c r="T372" s="4"/>
      <c r="U372" s="4"/>
      <c r="V372" s="4"/>
      <c r="W372" s="4"/>
      <c r="X372" s="4"/>
      <c r="Y372" s="4"/>
      <c r="Z372" s="4"/>
      <c r="AA372" t="b">
        <f>VLOOKUP(all_inputs!E372,ui!A$29:B$33,2,FALSE)</f>
        <v>0</v>
      </c>
    </row>
    <row r="373" spans="1:27" hidden="1" x14ac:dyDescent="0.25">
      <c r="A373" s="2" t="s">
        <v>31</v>
      </c>
      <c r="B373" s="2">
        <f>IF(COUNTIF(dropdown!B$2:B$12,all_inputs!A373)=1,1,IF(COUNTIF(dropdown!C$2:C$4,all_inputs!A373)=1,2,IF(COUNTIF(dropdown!D$2:D$3,all_inputs!A373)=1,3,"?")))</f>
        <v>1</v>
      </c>
      <c r="C373" s="2" t="s">
        <v>18</v>
      </c>
      <c r="D373" s="2" t="s">
        <v>469</v>
      </c>
      <c r="E373" s="2" t="s">
        <v>463</v>
      </c>
      <c r="F373" s="2">
        <f>IF(AND(all_inputs!E373=dropdown!AA$8, COUNTIF(dropdown!AA$9:AA$19,all_inputs!A373)=1), dropdown!V$14, 1)</f>
        <v>1</v>
      </c>
      <c r="G373" s="5">
        <f>ui!B$4</f>
        <v>2025</v>
      </c>
      <c r="H373" s="5">
        <f>ui!B$5</f>
        <v>2050</v>
      </c>
      <c r="I373" s="5" t="s">
        <v>93</v>
      </c>
      <c r="J373" s="5" t="str">
        <f>VLOOKUP(ui!B$2,dropdown!M:O,3,FALSE)</f>
        <v>LIC</v>
      </c>
      <c r="K373" s="5"/>
      <c r="L373" s="5"/>
      <c r="M373" s="5"/>
      <c r="N373" s="5">
        <v>1</v>
      </c>
      <c r="O373" s="5"/>
      <c r="P373" s="5"/>
      <c r="Q373" s="5"/>
      <c r="R373" s="5">
        <v>1</v>
      </c>
      <c r="S373" s="5"/>
      <c r="T373" s="5"/>
      <c r="U373" s="5"/>
      <c r="V373" s="5"/>
      <c r="W373" s="5"/>
      <c r="X373" s="5"/>
      <c r="Y373" s="5"/>
      <c r="Z373" s="5"/>
      <c r="AA373" s="2" t="b">
        <f>VLOOKUP(all_inputs!E373,ui!A$29:B$33,2,FALSE)</f>
        <v>0</v>
      </c>
    </row>
    <row r="374" spans="1:27" hidden="1" x14ac:dyDescent="0.25">
      <c r="A374" t="s">
        <v>32</v>
      </c>
      <c r="B374">
        <f>IF(COUNTIF(dropdown!B$2:B$12,all_inputs!A374)=1,1,IF(COUNTIF(dropdown!C$2:C$4,all_inputs!A374)=1,2,IF(COUNTIF(dropdown!D$2:D$3,all_inputs!A374)=1,3,"?")))</f>
        <v>2</v>
      </c>
      <c r="C374" t="s">
        <v>13</v>
      </c>
      <c r="D374" t="s">
        <v>472</v>
      </c>
      <c r="E374" t="s">
        <v>463</v>
      </c>
      <c r="F374" s="4">
        <f>IF(AND(all_inputs!E374=dropdown!AA$8, COUNTIF(dropdown!AA$9:AA$19,all_inputs!A374)=1), dropdown!V$9, 1)</f>
        <v>1</v>
      </c>
      <c r="G374" s="4">
        <f>ui!B$4</f>
        <v>2025</v>
      </c>
      <c r="H374" s="4">
        <f>ui!B$5</f>
        <v>2050</v>
      </c>
      <c r="I374" s="4" t="s">
        <v>93</v>
      </c>
      <c r="J374" s="4" t="str">
        <f>VLOOKUP(ui!B$2,dropdown!M:O,3,FALSE)</f>
        <v>LIC</v>
      </c>
      <c r="K374" s="4"/>
      <c r="L374" s="4"/>
      <c r="M374" s="4"/>
      <c r="N374" s="4">
        <v>1</v>
      </c>
      <c r="O374" s="4"/>
      <c r="P374" s="4"/>
      <c r="Q374" s="4"/>
      <c r="R374" s="4">
        <v>1</v>
      </c>
      <c r="S374" s="4"/>
      <c r="T374" s="4"/>
      <c r="U374" s="4"/>
      <c r="V374" s="4"/>
      <c r="W374" s="4"/>
      <c r="X374" s="4"/>
      <c r="Y374" s="4"/>
      <c r="Z374" s="4"/>
      <c r="AA374" t="b">
        <f>VLOOKUP(all_inputs!E374,ui!A$29:B$33,2,FALSE)</f>
        <v>0</v>
      </c>
    </row>
    <row r="375" spans="1:27" hidden="1" x14ac:dyDescent="0.25">
      <c r="A375" t="s">
        <v>32</v>
      </c>
      <c r="B375">
        <f>IF(COUNTIF(dropdown!B$2:B$12,all_inputs!A375)=1,1,IF(COUNTIF(dropdown!C$2:C$4,all_inputs!A375)=1,2,IF(COUNTIF(dropdown!D$2:D$3,all_inputs!A375)=1,3,"?")))</f>
        <v>2</v>
      </c>
      <c r="C375" t="s">
        <v>14</v>
      </c>
      <c r="D375" t="s">
        <v>466</v>
      </c>
      <c r="E375" t="s">
        <v>463</v>
      </c>
      <c r="F375">
        <f>IF(AND(all_inputs!E375=dropdown!AA$8, COUNTIF(dropdown!AA$9:AA$19,all_inputs!A375)=1), dropdown!V$10, 1)</f>
        <v>1</v>
      </c>
      <c r="G375" s="4">
        <f>ui!B$4</f>
        <v>2025</v>
      </c>
      <c r="H375" s="4">
        <f>ui!B$5</f>
        <v>2050</v>
      </c>
      <c r="I375" s="4" t="s">
        <v>93</v>
      </c>
      <c r="J375" s="4" t="str">
        <f>VLOOKUP(ui!B$2,dropdown!M:O,3,FALSE)</f>
        <v>LIC</v>
      </c>
      <c r="K375" s="4"/>
      <c r="L375" s="4"/>
      <c r="M375" s="4"/>
      <c r="N375" s="4">
        <v>1</v>
      </c>
      <c r="O375" s="4"/>
      <c r="P375" s="4"/>
      <c r="Q375" s="4"/>
      <c r="R375" s="4">
        <v>1</v>
      </c>
      <c r="S375" s="4"/>
      <c r="T375" s="4"/>
      <c r="U375" s="4"/>
      <c r="V375" s="4"/>
      <c r="W375" s="4"/>
      <c r="X375" s="4"/>
      <c r="Y375" s="4"/>
      <c r="Z375" s="4"/>
      <c r="AA375" t="b">
        <f>VLOOKUP(all_inputs!E375,ui!A$29:B$33,2,FALSE)</f>
        <v>0</v>
      </c>
    </row>
    <row r="376" spans="1:27" hidden="1" x14ac:dyDescent="0.25">
      <c r="A376" t="s">
        <v>32</v>
      </c>
      <c r="B376">
        <f>IF(COUNTIF(dropdown!B$2:B$12,all_inputs!A376)=1,1,IF(COUNTIF(dropdown!C$2:C$4,all_inputs!A376)=1,2,IF(COUNTIF(dropdown!D$2:D$3,all_inputs!A376)=1,3,"?")))</f>
        <v>2</v>
      </c>
      <c r="C376" t="s">
        <v>15</v>
      </c>
      <c r="D376" t="s">
        <v>466</v>
      </c>
      <c r="E376" t="s">
        <v>463</v>
      </c>
      <c r="F376" s="4">
        <f>IF(AND(all_inputs!E376=dropdown!AA$8, COUNTIF(dropdown!AA$9:AA$19,all_inputs!A376)=1), dropdown!V$11, 1)</f>
        <v>1</v>
      </c>
      <c r="G376" s="4">
        <f>ui!B$4</f>
        <v>2025</v>
      </c>
      <c r="H376" s="4">
        <f>ui!B$5</f>
        <v>2050</v>
      </c>
      <c r="I376" s="4" t="s">
        <v>93</v>
      </c>
      <c r="J376" s="4" t="str">
        <f>VLOOKUP(ui!B$2,dropdown!M:O,3,FALSE)</f>
        <v>LIC</v>
      </c>
      <c r="K376" s="4"/>
      <c r="L376" s="4"/>
      <c r="M376" s="4"/>
      <c r="N376" s="4">
        <v>1</v>
      </c>
      <c r="O376" s="4"/>
      <c r="P376" s="4"/>
      <c r="Q376" s="4"/>
      <c r="R376" s="4">
        <v>1</v>
      </c>
      <c r="S376" s="4"/>
      <c r="T376" s="4"/>
      <c r="U376" s="4"/>
      <c r="V376" s="4"/>
      <c r="W376" s="4"/>
      <c r="X376" s="4"/>
      <c r="Y376" s="4"/>
      <c r="Z376" s="4"/>
      <c r="AA376" t="b">
        <f>VLOOKUP(all_inputs!E376,ui!A$29:B$33,2,FALSE)</f>
        <v>0</v>
      </c>
    </row>
    <row r="377" spans="1:27" hidden="1" x14ac:dyDescent="0.25">
      <c r="A377" t="s">
        <v>32</v>
      </c>
      <c r="B377">
        <f>IF(COUNTIF(dropdown!B$2:B$12,all_inputs!A377)=1,1,IF(COUNTIF(dropdown!C$2:C$4,all_inputs!A377)=1,2,IF(COUNTIF(dropdown!D$2:D$3,all_inputs!A377)=1,3,"?")))</f>
        <v>2</v>
      </c>
      <c r="C377" t="s">
        <v>16</v>
      </c>
      <c r="D377" t="s">
        <v>467</v>
      </c>
      <c r="E377" t="s">
        <v>463</v>
      </c>
      <c r="F377">
        <f>IF(AND(all_inputs!E377=dropdown!AA$8, COUNTIF(dropdown!AA$9:AA$19,all_inputs!A377)=1), dropdown!V$12, 1)</f>
        <v>1</v>
      </c>
      <c r="G377" s="4">
        <f>ui!B$4</f>
        <v>2025</v>
      </c>
      <c r="H377" s="4">
        <f>ui!B$5</f>
        <v>2050</v>
      </c>
      <c r="I377" s="4" t="s">
        <v>93</v>
      </c>
      <c r="J377" s="4" t="str">
        <f>VLOOKUP(ui!B$2,dropdown!M:O,3,FALSE)</f>
        <v>LIC</v>
      </c>
      <c r="K377" s="4"/>
      <c r="L377" s="4"/>
      <c r="M377" s="4"/>
      <c r="N377" s="4">
        <v>1</v>
      </c>
      <c r="O377" s="4"/>
      <c r="P377" s="4"/>
      <c r="Q377" s="4"/>
      <c r="R377" s="4">
        <v>1</v>
      </c>
      <c r="S377" s="4"/>
      <c r="T377" s="4"/>
      <c r="U377" s="4"/>
      <c r="V377" s="4"/>
      <c r="W377" s="4"/>
      <c r="X377" s="4"/>
      <c r="Y377" s="4"/>
      <c r="Z377" s="4"/>
      <c r="AA377" t="b">
        <f>VLOOKUP(all_inputs!E377,ui!A$29:B$33,2,FALSE)</f>
        <v>0</v>
      </c>
    </row>
    <row r="378" spans="1:27" hidden="1" x14ac:dyDescent="0.25">
      <c r="A378" t="s">
        <v>32</v>
      </c>
      <c r="B378">
        <f>IF(COUNTIF(dropdown!B$2:B$12,all_inputs!A378)=1,1,IF(COUNTIF(dropdown!C$2:C$4,all_inputs!A378)=1,2,IF(COUNTIF(dropdown!D$2:D$3,all_inputs!A378)=1,3,"?")))</f>
        <v>2</v>
      </c>
      <c r="C378" t="s">
        <v>17</v>
      </c>
      <c r="D378" t="s">
        <v>468</v>
      </c>
      <c r="E378" t="s">
        <v>463</v>
      </c>
      <c r="F378">
        <f>IF(AND(all_inputs!E378=dropdown!AA$8, COUNTIF(dropdown!AA$9:AA$19,all_inputs!A378)=1), dropdown!V$13, 1)</f>
        <v>1</v>
      </c>
      <c r="G378" s="4">
        <f>ui!B$4</f>
        <v>2025</v>
      </c>
      <c r="H378" s="4">
        <f>ui!B$5</f>
        <v>2050</v>
      </c>
      <c r="I378" s="4" t="s">
        <v>93</v>
      </c>
      <c r="J378" s="4" t="str">
        <f>VLOOKUP(ui!B$2,dropdown!M:O,3,FALSE)</f>
        <v>LIC</v>
      </c>
      <c r="K378" s="4"/>
      <c r="L378" s="4"/>
      <c r="M378" s="4"/>
      <c r="N378" s="4">
        <v>1</v>
      </c>
      <c r="O378" s="4"/>
      <c r="P378" s="4"/>
      <c r="Q378" s="4"/>
      <c r="R378" s="4">
        <v>1</v>
      </c>
      <c r="S378" s="4"/>
      <c r="T378" s="4"/>
      <c r="U378" s="4"/>
      <c r="V378" s="4"/>
      <c r="W378" s="4"/>
      <c r="X378" s="4"/>
      <c r="Y378" s="4"/>
      <c r="Z378" s="4"/>
      <c r="AA378" t="b">
        <f>VLOOKUP(all_inputs!E378,ui!A$29:B$33,2,FALSE)</f>
        <v>0</v>
      </c>
    </row>
    <row r="379" spans="1:27" hidden="1" x14ac:dyDescent="0.25">
      <c r="A379" s="2" t="s">
        <v>32</v>
      </c>
      <c r="B379" s="2">
        <f>IF(COUNTIF(dropdown!B$2:B$12,all_inputs!A379)=1,1,IF(COUNTIF(dropdown!C$2:C$4,all_inputs!A379)=1,2,IF(COUNTIF(dropdown!D$2:D$3,all_inputs!A379)=1,3,"?")))</f>
        <v>2</v>
      </c>
      <c r="C379" s="2" t="s">
        <v>18</v>
      </c>
      <c r="D379" s="2" t="s">
        <v>469</v>
      </c>
      <c r="E379" s="2" t="s">
        <v>463</v>
      </c>
      <c r="F379" s="2">
        <f>IF(AND(all_inputs!E379=dropdown!AA$8, COUNTIF(dropdown!AA$9:AA$19,all_inputs!A379)=1), dropdown!V$14, 1)</f>
        <v>1</v>
      </c>
      <c r="G379" s="5">
        <f>ui!B$4</f>
        <v>2025</v>
      </c>
      <c r="H379" s="5">
        <f>ui!B$5</f>
        <v>2050</v>
      </c>
      <c r="I379" s="5" t="s">
        <v>93</v>
      </c>
      <c r="J379" s="5" t="str">
        <f>VLOOKUP(ui!B$2,dropdown!M:O,3,FALSE)</f>
        <v>LIC</v>
      </c>
      <c r="K379" s="5"/>
      <c r="L379" s="5"/>
      <c r="M379" s="5"/>
      <c r="N379" s="5">
        <v>1</v>
      </c>
      <c r="O379" s="5"/>
      <c r="P379" s="5"/>
      <c r="Q379" s="5"/>
      <c r="R379" s="5">
        <v>1</v>
      </c>
      <c r="S379" s="5"/>
      <c r="T379" s="5"/>
      <c r="U379" s="5"/>
      <c r="V379" s="5"/>
      <c r="W379" s="5"/>
      <c r="X379" s="5"/>
      <c r="Y379" s="5"/>
      <c r="Z379" s="5"/>
      <c r="AA379" s="2" t="b">
        <f>VLOOKUP(all_inputs!E379,ui!A$29:B$33,2,FALSE)</f>
        <v>0</v>
      </c>
    </row>
    <row r="380" spans="1:27" hidden="1" x14ac:dyDescent="0.25">
      <c r="A380" t="s">
        <v>33</v>
      </c>
      <c r="B380">
        <f>IF(COUNTIF(dropdown!B$2:B$12,all_inputs!A380)=1,1,IF(COUNTIF(dropdown!C$2:C$4,all_inputs!A380)=1,2,IF(COUNTIF(dropdown!D$2:D$3,all_inputs!A380)=1,3,"?")))</f>
        <v>1</v>
      </c>
      <c r="C380" t="s">
        <v>13</v>
      </c>
      <c r="D380" t="s">
        <v>472</v>
      </c>
      <c r="E380" t="s">
        <v>463</v>
      </c>
      <c r="F380" s="4">
        <f>IF(AND(all_inputs!E380=dropdown!AA$8, COUNTIF(dropdown!AA$9:AA$19,all_inputs!A380)=1), dropdown!V$9, 1)</f>
        <v>1</v>
      </c>
      <c r="G380" s="4">
        <f>ui!B$4</f>
        <v>2025</v>
      </c>
      <c r="H380" s="4">
        <f>ui!B$5</f>
        <v>2050</v>
      </c>
      <c r="I380" s="4" t="s">
        <v>93</v>
      </c>
      <c r="J380" s="4" t="str">
        <f>VLOOKUP(ui!B$2,dropdown!M:O,3,FALSE)</f>
        <v>LIC</v>
      </c>
      <c r="K380" s="4"/>
      <c r="L380" s="4"/>
      <c r="M380" s="4"/>
      <c r="N380" s="4">
        <v>1</v>
      </c>
      <c r="O380" s="4"/>
      <c r="P380" s="4"/>
      <c r="Q380" s="4"/>
      <c r="R380" s="4">
        <v>1</v>
      </c>
      <c r="S380" s="4"/>
      <c r="T380" s="4"/>
      <c r="U380" s="4"/>
      <c r="V380" s="4"/>
      <c r="W380" s="4"/>
      <c r="X380" s="4"/>
      <c r="Y380" s="4"/>
      <c r="Z380" s="4"/>
      <c r="AA380" t="b">
        <f>VLOOKUP(all_inputs!E380,ui!A$29:B$33,2,FALSE)</f>
        <v>0</v>
      </c>
    </row>
    <row r="381" spans="1:27" hidden="1" x14ac:dyDescent="0.25">
      <c r="A381" t="s">
        <v>33</v>
      </c>
      <c r="B381">
        <f>IF(COUNTIF(dropdown!B$2:B$12,all_inputs!A381)=1,1,IF(COUNTIF(dropdown!C$2:C$4,all_inputs!A381)=1,2,IF(COUNTIF(dropdown!D$2:D$3,all_inputs!A381)=1,3,"?")))</f>
        <v>1</v>
      </c>
      <c r="C381" t="s">
        <v>14</v>
      </c>
      <c r="D381" t="s">
        <v>466</v>
      </c>
      <c r="E381" t="s">
        <v>463</v>
      </c>
      <c r="F381">
        <f>IF(AND(all_inputs!E381=dropdown!AA$8, COUNTIF(dropdown!AA$9:AA$19,all_inputs!A381)=1), dropdown!V$10, 1)</f>
        <v>1</v>
      </c>
      <c r="G381" s="4">
        <f>ui!B$4</f>
        <v>2025</v>
      </c>
      <c r="H381" s="4">
        <f>ui!B$5</f>
        <v>2050</v>
      </c>
      <c r="I381" s="4" t="s">
        <v>93</v>
      </c>
      <c r="J381" s="4" t="str">
        <f>VLOOKUP(ui!B$2,dropdown!M:O,3,FALSE)</f>
        <v>LIC</v>
      </c>
      <c r="K381" s="4"/>
      <c r="L381" s="4"/>
      <c r="M381" s="4"/>
      <c r="N381" s="4">
        <v>1</v>
      </c>
      <c r="O381" s="4"/>
      <c r="P381" s="4"/>
      <c r="Q381" s="4"/>
      <c r="R381" s="4">
        <v>1</v>
      </c>
      <c r="S381" s="4"/>
      <c r="T381" s="4"/>
      <c r="U381" s="4"/>
      <c r="V381" s="4"/>
      <c r="W381" s="4"/>
      <c r="X381" s="4"/>
      <c r="Y381" s="4"/>
      <c r="Z381" s="4"/>
      <c r="AA381" t="b">
        <f>VLOOKUP(all_inputs!E381,ui!A$29:B$33,2,FALSE)</f>
        <v>0</v>
      </c>
    </row>
    <row r="382" spans="1:27" hidden="1" x14ac:dyDescent="0.25">
      <c r="A382" t="s">
        <v>33</v>
      </c>
      <c r="B382">
        <f>IF(COUNTIF(dropdown!B$2:B$12,all_inputs!A382)=1,1,IF(COUNTIF(dropdown!C$2:C$4,all_inputs!A382)=1,2,IF(COUNTIF(dropdown!D$2:D$3,all_inputs!A382)=1,3,"?")))</f>
        <v>1</v>
      </c>
      <c r="C382" t="s">
        <v>15</v>
      </c>
      <c r="D382" t="s">
        <v>466</v>
      </c>
      <c r="E382" t="s">
        <v>463</v>
      </c>
      <c r="F382" s="4">
        <f>IF(AND(all_inputs!E382=dropdown!AA$8, COUNTIF(dropdown!AA$9:AA$19,all_inputs!A382)=1), dropdown!V$11, 1)</f>
        <v>1</v>
      </c>
      <c r="G382" s="4">
        <f>ui!B$4</f>
        <v>2025</v>
      </c>
      <c r="H382" s="4">
        <f>ui!B$5</f>
        <v>2050</v>
      </c>
      <c r="I382" s="4" t="s">
        <v>93</v>
      </c>
      <c r="J382" s="4" t="str">
        <f>VLOOKUP(ui!B$2,dropdown!M:O,3,FALSE)</f>
        <v>LIC</v>
      </c>
      <c r="K382" s="4"/>
      <c r="L382" s="4"/>
      <c r="M382" s="4"/>
      <c r="N382" s="4">
        <v>1</v>
      </c>
      <c r="O382" s="4"/>
      <c r="P382" s="4"/>
      <c r="Q382" s="4"/>
      <c r="R382" s="4">
        <v>1</v>
      </c>
      <c r="S382" s="4"/>
      <c r="T382" s="4"/>
      <c r="U382" s="4"/>
      <c r="V382" s="4"/>
      <c r="W382" s="4"/>
      <c r="X382" s="4"/>
      <c r="Y382" s="4"/>
      <c r="Z382" s="4"/>
      <c r="AA382" t="b">
        <f>VLOOKUP(all_inputs!E382,ui!A$29:B$33,2,FALSE)</f>
        <v>0</v>
      </c>
    </row>
    <row r="383" spans="1:27" hidden="1" x14ac:dyDescent="0.25">
      <c r="A383" t="s">
        <v>33</v>
      </c>
      <c r="B383">
        <f>IF(COUNTIF(dropdown!B$2:B$12,all_inputs!A383)=1,1,IF(COUNTIF(dropdown!C$2:C$4,all_inputs!A383)=1,2,IF(COUNTIF(dropdown!D$2:D$3,all_inputs!A383)=1,3,"?")))</f>
        <v>1</v>
      </c>
      <c r="C383" t="s">
        <v>16</v>
      </c>
      <c r="D383" t="s">
        <v>467</v>
      </c>
      <c r="E383" t="s">
        <v>463</v>
      </c>
      <c r="F383" s="4">
        <f>IF(AND(all_inputs!E383=dropdown!AA$8, COUNTIF(dropdown!AA$9:AA$19,all_inputs!A383)=1), dropdown!V$12, 1)</f>
        <v>1</v>
      </c>
      <c r="G383" s="4">
        <f>ui!B$4</f>
        <v>2025</v>
      </c>
      <c r="H383" s="4">
        <f>ui!B$5</f>
        <v>2050</v>
      </c>
      <c r="I383" s="4" t="s">
        <v>93</v>
      </c>
      <c r="J383" s="4" t="str">
        <f>VLOOKUP(ui!B$2,dropdown!M:O,3,FALSE)</f>
        <v>LIC</v>
      </c>
      <c r="K383" s="4"/>
      <c r="L383" s="4"/>
      <c r="M383" s="4"/>
      <c r="N383" s="4">
        <v>1</v>
      </c>
      <c r="O383" s="4"/>
      <c r="P383" s="4"/>
      <c r="Q383" s="4"/>
      <c r="R383" s="4">
        <v>1</v>
      </c>
      <c r="S383" s="4"/>
      <c r="T383" s="4"/>
      <c r="U383" s="4"/>
      <c r="V383" s="4"/>
      <c r="W383" s="4"/>
      <c r="X383" s="4"/>
      <c r="Y383" s="4"/>
      <c r="Z383" s="4"/>
      <c r="AA383" t="b">
        <f>VLOOKUP(all_inputs!E383,ui!A$29:B$33,2,FALSE)</f>
        <v>0</v>
      </c>
    </row>
    <row r="384" spans="1:27" hidden="1" x14ac:dyDescent="0.25">
      <c r="A384" t="s">
        <v>33</v>
      </c>
      <c r="B384">
        <f>IF(COUNTIF(dropdown!B$2:B$12,all_inputs!A384)=1,1,IF(COUNTIF(dropdown!C$2:C$4,all_inputs!A384)=1,2,IF(COUNTIF(dropdown!D$2:D$3,all_inputs!A384)=1,3,"?")))</f>
        <v>1</v>
      </c>
      <c r="C384" t="s">
        <v>17</v>
      </c>
      <c r="D384" t="s">
        <v>468</v>
      </c>
      <c r="E384" t="s">
        <v>463</v>
      </c>
      <c r="F384" s="4">
        <f>IF(AND(all_inputs!E384=dropdown!AA$8, COUNTIF(dropdown!AA$9:AA$19,all_inputs!A384)=1), dropdown!V$13, 1)</f>
        <v>1</v>
      </c>
      <c r="G384" s="4">
        <f>ui!B$4</f>
        <v>2025</v>
      </c>
      <c r="H384" s="4">
        <f>ui!B$5</f>
        <v>2050</v>
      </c>
      <c r="I384" s="4" t="s">
        <v>93</v>
      </c>
      <c r="J384" s="4" t="str">
        <f>VLOOKUP(ui!B$2,dropdown!M:O,3,FALSE)</f>
        <v>LIC</v>
      </c>
      <c r="K384" s="4"/>
      <c r="L384" s="4"/>
      <c r="M384" s="4"/>
      <c r="N384" s="4">
        <v>1</v>
      </c>
      <c r="O384" s="4"/>
      <c r="P384" s="4"/>
      <c r="Q384" s="4"/>
      <c r="R384" s="4">
        <v>1</v>
      </c>
      <c r="S384" s="4"/>
      <c r="T384" s="4"/>
      <c r="U384" s="4"/>
      <c r="V384" s="4"/>
      <c r="W384" s="4"/>
      <c r="X384" s="4"/>
      <c r="Y384" s="4"/>
      <c r="Z384" s="4"/>
      <c r="AA384" t="b">
        <f>VLOOKUP(all_inputs!E384,ui!A$29:B$33,2,FALSE)</f>
        <v>0</v>
      </c>
    </row>
    <row r="385" spans="1:27" hidden="1" x14ac:dyDescent="0.25">
      <c r="A385" s="2" t="s">
        <v>33</v>
      </c>
      <c r="B385" s="2">
        <f>IF(COUNTIF(dropdown!B$2:B$12,all_inputs!A385)=1,1,IF(COUNTIF(dropdown!C$2:C$4,all_inputs!A385)=1,2,IF(COUNTIF(dropdown!D$2:D$3,all_inputs!A385)=1,3,"?")))</f>
        <v>1</v>
      </c>
      <c r="C385" s="2" t="s">
        <v>18</v>
      </c>
      <c r="D385" s="2" t="s">
        <v>469</v>
      </c>
      <c r="E385" s="2" t="s">
        <v>463</v>
      </c>
      <c r="F385" s="2">
        <f>IF(AND(all_inputs!E385=dropdown!AA$8, COUNTIF(dropdown!AA$9:AA$19,all_inputs!A385)=1), dropdown!V$14, 1)</f>
        <v>1</v>
      </c>
      <c r="G385" s="5">
        <f>ui!B$4</f>
        <v>2025</v>
      </c>
      <c r="H385" s="5">
        <f>ui!B$5</f>
        <v>2050</v>
      </c>
      <c r="I385" s="5" t="s">
        <v>93</v>
      </c>
      <c r="J385" s="5" t="str">
        <f>VLOOKUP(ui!B$2,dropdown!M:O,3,FALSE)</f>
        <v>LIC</v>
      </c>
      <c r="K385" s="5"/>
      <c r="L385" s="5"/>
      <c r="M385" s="5"/>
      <c r="N385" s="5">
        <v>1</v>
      </c>
      <c r="O385" s="5"/>
      <c r="P385" s="5"/>
      <c r="Q385" s="5"/>
      <c r="R385" s="5">
        <v>1</v>
      </c>
      <c r="S385" s="5"/>
      <c r="T385" s="5"/>
      <c r="U385" s="5"/>
      <c r="V385" s="5"/>
      <c r="W385" s="5"/>
      <c r="X385" s="5"/>
      <c r="Y385" s="5"/>
      <c r="Z385" s="5"/>
      <c r="AA385" s="2" t="b">
        <f>VLOOKUP(all_inputs!E385,ui!A$29:B$33,2,FALSE)</f>
        <v>0</v>
      </c>
    </row>
    <row r="386" spans="1:27" x14ac:dyDescent="0.25">
      <c r="A386" t="s">
        <v>12</v>
      </c>
      <c r="B386" s="40">
        <f>IF(COUNTIF(dropdown!B$2:B$12,all_inputs!A386)=1,1,IF(COUNTIF(dropdown!C$2:C$4,all_inputs!A386)=1,2,IF(COUNTIF(dropdown!D$2:D$3,all_inputs!A386)=1,3,"?")))</f>
        <v>1</v>
      </c>
      <c r="C386" t="s">
        <v>13</v>
      </c>
      <c r="D386" t="s">
        <v>472</v>
      </c>
      <c r="E386" t="s">
        <v>440</v>
      </c>
      <c r="F386" s="4" cm="1">
        <f t="array" ref="F386">IF(B386&lt;&gt;3,1,_xlfn.IFNA(INDEX(#REF!,MATCH(1, (all_inputs!A386=#REF!)*(all_inputs!D386=#REF!),0)),1))</f>
        <v>1</v>
      </c>
      <c r="G386" s="4">
        <f>ui!B$4</f>
        <v>2025</v>
      </c>
      <c r="H386" s="4">
        <f>ui!B$5</f>
        <v>2050</v>
      </c>
      <c r="I386" s="4" t="s">
        <v>93</v>
      </c>
      <c r="J386" s="4" t="str">
        <f>VLOOKUP(ui!B$2,dropdown!M:O,3,FALSE)</f>
        <v>LIC</v>
      </c>
      <c r="K386" s="4" cm="1">
        <f t="array" ref="K386">INDEX(begin!E:E,MATCH(1, (all_inputs!A386=begin!A:A)*(all_inputs!J386=begin!C:C),0))</f>
        <v>0</v>
      </c>
      <c r="L386" s="4" cm="1">
        <f t="array" ref="L386">INDEX(begin!F:F,MATCH(1, (all_inputs!A386=begin!A:A)*(all_inputs!J386=begin!C:C),0))</f>
        <v>0.05</v>
      </c>
      <c r="M386" s="4" cm="1">
        <f t="array" ref="M386">INDEX(begin!G:G,MATCH(1, (all_inputs!A386=begin!A:A)*(all_inputs!J386=begin!C:C),0))</f>
        <v>4.5000000000000005E-2</v>
      </c>
      <c r="N386" s="4">
        <f>VLOOKUP(A386,ui!A$37:C$52,3,FALSE)</f>
        <v>4.5000000000000005E-2</v>
      </c>
      <c r="O386" s="4" cm="1">
        <f t="array" ref="O386">INDEX(end!E:E,MATCH(1, (all_inputs!A386=end!A:A)*(all_inputs!J386=end!C:C),0))</f>
        <v>0</v>
      </c>
      <c r="P386" s="4" cm="1">
        <f t="array" ref="P386">INDEX(end!F:F,MATCH(1, (all_inputs!A386=end!A:A)*(all_inputs!J386=end!C:C),0))</f>
        <v>0.8</v>
      </c>
      <c r="Q386" s="4" cm="1">
        <f t="array" ref="Q386">INDEX(end!G:G,MATCH(1, (all_inputs!A386=end!A:A)*(all_inputs!J386=end!C:C),0))</f>
        <v>0.72000000000000008</v>
      </c>
      <c r="R386" s="4">
        <f>VLOOKUP(A386,ui!A$37:G$52,4,FALSE)</f>
        <v>4.0500000000000008E-2</v>
      </c>
      <c r="S386" s="4" cm="1">
        <f t="array" ref="S386">INDEX(begin!I:I,MATCH(1, (all_inputs!A386=begin!A:A)*(all_inputs!J386=begin!C:C),0))</f>
        <v>0</v>
      </c>
      <c r="T386" s="4" cm="1">
        <f t="array" ref="T386">INDEX(begin!J:J,MATCH(1, (all_inputs!A386=begin!A:A)*(all_inputs!J386=begin!C:C),0))</f>
        <v>1</v>
      </c>
      <c r="U386" s="4" cm="1">
        <f t="array" ref="U386">INDEX(begin!K:K,MATCH(1, (all_inputs!A386=begin!A:A)*(all_inputs!J386=begin!C:C),0))</f>
        <v>0</v>
      </c>
      <c r="V386" s="4" cm="1">
        <f t="array" ref="V386">INDEX(begin!L:L,MATCH(1, (all_inputs!A386=begin!A:A)*(all_inputs!J386=begin!C:C),0))</f>
        <v>0</v>
      </c>
      <c r="W386" s="4" cm="1">
        <f t="array" ref="W386">_xlfn.IFNA(INDEX(end!I:I,MATCH(1, (all_inputs!A386=end!A:A)*(all_inputs!J386=end!C:C),0)),"")</f>
        <v>0</v>
      </c>
      <c r="X386" s="4" cm="1">
        <f t="array" ref="X386">_xlfn.IFNA(INDEX(end!J:J,MATCH(1, (all_inputs!A386=end!A:A)*(all_inputs!J386=end!C:C),0)),"")</f>
        <v>1</v>
      </c>
      <c r="Y386" s="4" cm="1">
        <f t="array" ref="Y386">_xlfn.IFNA(INDEX(end!K:K,MATCH(1, (all_inputs!A386=end!A:A)*(all_inputs!J386=end!C:C),0)),"")</f>
        <v>0</v>
      </c>
      <c r="Z386" s="4" cm="1">
        <f t="array" ref="Z386">_xlfn.IFNA(INDEX(end!L:L,MATCH(1, (all_inputs!A386=end!A:A)*(all_inputs!J386=end!C:C),0)),"")</f>
        <v>0</v>
      </c>
      <c r="AA386" t="b">
        <f>VLOOKUP(A386,ui!A$37:B$52,2,FALSE)</f>
        <v>0</v>
      </c>
    </row>
    <row r="387" spans="1:27" x14ac:dyDescent="0.25">
      <c r="A387" t="s">
        <v>12</v>
      </c>
      <c r="B387" s="40">
        <f>IF(COUNTIF(dropdown!B$2:B$12,all_inputs!A387)=1,1,IF(COUNTIF(dropdown!C$2:C$4,all_inputs!A387)=1,2,IF(COUNTIF(dropdown!D$2:D$3,all_inputs!A387)=1,3,"?")))</f>
        <v>1</v>
      </c>
      <c r="C387" t="s">
        <v>14</v>
      </c>
      <c r="D387" t="s">
        <v>466</v>
      </c>
      <c r="E387" t="s">
        <v>440</v>
      </c>
      <c r="F387">
        <v>1</v>
      </c>
      <c r="G387" s="4">
        <f>ui!B$4</f>
        <v>2025</v>
      </c>
      <c r="H387" s="4">
        <f>ui!B$5</f>
        <v>2050</v>
      </c>
      <c r="I387" s="4" t="s">
        <v>93</v>
      </c>
      <c r="J387" s="4" t="str">
        <f>VLOOKUP(ui!B$2,dropdown!M:O,3,FALSE)</f>
        <v>LIC</v>
      </c>
      <c r="K387" s="4" cm="1">
        <f t="array" ref="K387">INDEX(begin!E:E,MATCH(1, (all_inputs!A387=begin!A:A)*(all_inputs!J387=begin!C:C),0))</f>
        <v>0</v>
      </c>
      <c r="L387" s="4" cm="1">
        <f t="array" ref="L387">INDEX(begin!F:F,MATCH(1, (all_inputs!A387=begin!A:A)*(all_inputs!J387=begin!C:C),0))</f>
        <v>0.05</v>
      </c>
      <c r="M387" s="4" cm="1">
        <f t="array" ref="M387">INDEX(begin!G:G,MATCH(1, (all_inputs!A387=begin!A:A)*(all_inputs!J387=begin!C:C),0))</f>
        <v>4.5000000000000005E-2</v>
      </c>
      <c r="N387" s="4">
        <f>VLOOKUP(A387,ui!A$37:C$52,3,FALSE)</f>
        <v>4.5000000000000005E-2</v>
      </c>
      <c r="O387" s="4" cm="1">
        <f t="array" ref="O387">INDEX(end!E:E,MATCH(1, (all_inputs!A387=end!A:A)*(all_inputs!J387=end!C:C),0))</f>
        <v>0</v>
      </c>
      <c r="P387" s="4" cm="1">
        <f t="array" ref="P387">INDEX(end!F:F,MATCH(1, (all_inputs!A387=end!A:A)*(all_inputs!J387=end!C:C),0))</f>
        <v>0.8</v>
      </c>
      <c r="Q387" s="4" cm="1">
        <f t="array" ref="Q387">INDEX(end!G:G,MATCH(1, (all_inputs!A387=end!A:A)*(all_inputs!J387=end!C:C),0))</f>
        <v>0.72000000000000008</v>
      </c>
      <c r="R387" s="4">
        <f>VLOOKUP(A387,ui!A$37:G$52,4,FALSE)</f>
        <v>4.0500000000000008E-2</v>
      </c>
      <c r="S387" s="4" cm="1">
        <f t="array" ref="S387">INDEX(begin!I:I,MATCH(1, (all_inputs!A387=begin!A:A)*(all_inputs!J387=begin!C:C),0))</f>
        <v>0</v>
      </c>
      <c r="T387" s="4" cm="1">
        <f t="array" ref="T387">INDEX(begin!J:J,MATCH(1, (all_inputs!A387=begin!A:A)*(all_inputs!J387=begin!C:C),0))</f>
        <v>1</v>
      </c>
      <c r="U387" s="4" cm="1">
        <f t="array" ref="U387">INDEX(begin!K:K,MATCH(1, (all_inputs!A387=begin!A:A)*(all_inputs!J387=begin!C:C),0))</f>
        <v>0</v>
      </c>
      <c r="V387" s="4" cm="1">
        <f t="array" ref="V387">INDEX(begin!L:L,MATCH(1, (all_inputs!A387=begin!A:A)*(all_inputs!J387=begin!C:C),0))</f>
        <v>0</v>
      </c>
      <c r="W387" s="4" cm="1">
        <f t="array" ref="W387">_xlfn.IFNA(INDEX(end!I:I,MATCH(1, (all_inputs!A387=end!A:A)*(all_inputs!J387=end!C:C),0)),"")</f>
        <v>0</v>
      </c>
      <c r="X387" s="4" cm="1">
        <f t="array" ref="X387">_xlfn.IFNA(INDEX(end!J:J,MATCH(1, (all_inputs!A387=end!A:A)*(all_inputs!J387=end!C:C),0)),"")</f>
        <v>1</v>
      </c>
      <c r="Y387" s="4" cm="1">
        <f t="array" ref="Y387">_xlfn.IFNA(INDEX(end!K:K,MATCH(1, (all_inputs!A387=end!A:A)*(all_inputs!J387=end!C:C),0)),"")</f>
        <v>0</v>
      </c>
      <c r="Z387" s="4" cm="1">
        <f t="array" ref="Z387">_xlfn.IFNA(INDEX(end!L:L,MATCH(1, (all_inputs!A387=end!A:A)*(all_inputs!J387=end!C:C),0)),"")</f>
        <v>0</v>
      </c>
      <c r="AA387" t="b">
        <f>VLOOKUP(A387,ui!A$37:B$52,2,FALSE)</f>
        <v>0</v>
      </c>
    </row>
    <row r="388" spans="1:27" x14ac:dyDescent="0.25">
      <c r="A388" t="s">
        <v>12</v>
      </c>
      <c r="B388" s="40">
        <f>IF(COUNTIF(dropdown!B$2:B$12,all_inputs!A388)=1,1,IF(COUNTIF(dropdown!C$2:C$4,all_inputs!A388)=1,2,IF(COUNTIF(dropdown!D$2:D$3,all_inputs!A388)=1,3,"?")))</f>
        <v>1</v>
      </c>
      <c r="C388" t="s">
        <v>15</v>
      </c>
      <c r="D388" t="s">
        <v>466</v>
      </c>
      <c r="E388" t="s">
        <v>440</v>
      </c>
      <c r="F388" s="4">
        <v>1</v>
      </c>
      <c r="G388" s="4">
        <f>ui!B$4</f>
        <v>2025</v>
      </c>
      <c r="H388" s="4">
        <f>ui!B$5</f>
        <v>2050</v>
      </c>
      <c r="I388" s="4" t="s">
        <v>93</v>
      </c>
      <c r="J388" s="4" t="str">
        <f>VLOOKUP(ui!B$2,dropdown!M:O,3,FALSE)</f>
        <v>LIC</v>
      </c>
      <c r="K388" s="4" cm="1">
        <f t="array" ref="K388">INDEX(begin!E:E,MATCH(1, (all_inputs!A388=begin!A:A)*(all_inputs!J388=begin!C:C),0))</f>
        <v>0</v>
      </c>
      <c r="L388" s="4" cm="1">
        <f t="array" ref="L388">INDEX(begin!F:F,MATCH(1, (all_inputs!A388=begin!A:A)*(all_inputs!J388=begin!C:C),0))</f>
        <v>0.05</v>
      </c>
      <c r="M388" s="4" cm="1">
        <f t="array" ref="M388">INDEX(begin!G:G,MATCH(1, (all_inputs!A388=begin!A:A)*(all_inputs!J388=begin!C:C),0))</f>
        <v>4.5000000000000005E-2</v>
      </c>
      <c r="N388" s="4">
        <f>VLOOKUP(A388,ui!A$37:C$52,3,FALSE)</f>
        <v>4.5000000000000005E-2</v>
      </c>
      <c r="O388" s="4" cm="1">
        <f t="array" ref="O388">INDEX(end!E:E,MATCH(1, (all_inputs!A388=end!A:A)*(all_inputs!J388=end!C:C),0))</f>
        <v>0</v>
      </c>
      <c r="P388" s="4" cm="1">
        <f t="array" ref="P388">INDEX(end!F:F,MATCH(1, (all_inputs!A388=end!A:A)*(all_inputs!J388=end!C:C),0))</f>
        <v>0.8</v>
      </c>
      <c r="Q388" s="4" cm="1">
        <f t="array" ref="Q388">INDEX(end!G:G,MATCH(1, (all_inputs!A388=end!A:A)*(all_inputs!J388=end!C:C),0))</f>
        <v>0.72000000000000008</v>
      </c>
      <c r="R388" s="4">
        <f>VLOOKUP(A388,ui!A$37:G$52,4,FALSE)</f>
        <v>4.0500000000000008E-2</v>
      </c>
      <c r="S388" s="4" cm="1">
        <f t="array" ref="S388">INDEX(begin!I:I,MATCH(1, (all_inputs!A388=begin!A:A)*(all_inputs!J388=begin!C:C),0))</f>
        <v>0</v>
      </c>
      <c r="T388" s="4" cm="1">
        <f t="array" ref="T388">INDEX(begin!J:J,MATCH(1, (all_inputs!A388=begin!A:A)*(all_inputs!J388=begin!C:C),0))</f>
        <v>1</v>
      </c>
      <c r="U388" s="4" cm="1">
        <f t="array" ref="U388">INDEX(begin!K:K,MATCH(1, (all_inputs!A388=begin!A:A)*(all_inputs!J388=begin!C:C),0))</f>
        <v>0</v>
      </c>
      <c r="V388" s="4" cm="1">
        <f t="array" ref="V388">INDEX(begin!L:L,MATCH(1, (all_inputs!A388=begin!A:A)*(all_inputs!J388=begin!C:C),0))</f>
        <v>0</v>
      </c>
      <c r="W388" s="4" cm="1">
        <f t="array" ref="W388">_xlfn.IFNA(INDEX(end!I:I,MATCH(1, (all_inputs!A388=end!A:A)*(all_inputs!J388=end!C:C),0)),"")</f>
        <v>0</v>
      </c>
      <c r="X388" s="4" cm="1">
        <f t="array" ref="X388">_xlfn.IFNA(INDEX(end!J:J,MATCH(1, (all_inputs!A388=end!A:A)*(all_inputs!J388=end!C:C),0)),"")</f>
        <v>1</v>
      </c>
      <c r="Y388" s="4" cm="1">
        <f t="array" ref="Y388">_xlfn.IFNA(INDEX(end!K:K,MATCH(1, (all_inputs!A388=end!A:A)*(all_inputs!J388=end!C:C),0)),"")</f>
        <v>0</v>
      </c>
      <c r="Z388" s="4" cm="1">
        <f t="array" ref="Z388">_xlfn.IFNA(INDEX(end!L:L,MATCH(1, (all_inputs!A388=end!A:A)*(all_inputs!J388=end!C:C),0)),"")</f>
        <v>0</v>
      </c>
      <c r="AA388" t="b">
        <f>VLOOKUP(A388,ui!A$37:B$52,2,FALSE)</f>
        <v>0</v>
      </c>
    </row>
    <row r="389" spans="1:27" x14ac:dyDescent="0.25">
      <c r="A389" t="s">
        <v>12</v>
      </c>
      <c r="B389" s="40">
        <f>IF(COUNTIF(dropdown!B$2:B$12,all_inputs!A389)=1,1,IF(COUNTIF(dropdown!C$2:C$4,all_inputs!A389)=1,2,IF(COUNTIF(dropdown!D$2:D$3,all_inputs!A389)=1,3,"?")))</f>
        <v>1</v>
      </c>
      <c r="C389" t="s">
        <v>16</v>
      </c>
      <c r="D389" t="s">
        <v>467</v>
      </c>
      <c r="E389" t="s">
        <v>440</v>
      </c>
      <c r="F389" s="4">
        <v>1</v>
      </c>
      <c r="G389" s="4">
        <f>ui!B$4</f>
        <v>2025</v>
      </c>
      <c r="H389" s="4">
        <f>ui!B$5</f>
        <v>2050</v>
      </c>
      <c r="I389" s="4" t="s">
        <v>93</v>
      </c>
      <c r="J389" s="4" t="str">
        <f>VLOOKUP(ui!B$2,dropdown!M:O,3,FALSE)</f>
        <v>LIC</v>
      </c>
      <c r="K389" s="4" cm="1">
        <f t="array" ref="K389">INDEX(begin!E:E,MATCH(1, (all_inputs!A389=begin!A:A)*(all_inputs!J389=begin!C:C),0))</f>
        <v>0</v>
      </c>
      <c r="L389" s="4" cm="1">
        <f t="array" ref="L389">INDEX(begin!F:F,MATCH(1, (all_inputs!A389=begin!A:A)*(all_inputs!J389=begin!C:C),0))</f>
        <v>0.05</v>
      </c>
      <c r="M389" s="4" cm="1">
        <f t="array" ref="M389">INDEX(begin!G:G,MATCH(1, (all_inputs!A389=begin!A:A)*(all_inputs!J389=begin!C:C),0))</f>
        <v>4.5000000000000005E-2</v>
      </c>
      <c r="N389" s="4">
        <f>VLOOKUP(A389,ui!A$37:C$52,3,FALSE)</f>
        <v>4.5000000000000005E-2</v>
      </c>
      <c r="O389" s="4" cm="1">
        <f t="array" ref="O389">INDEX(end!E:E,MATCH(1, (all_inputs!A389=end!A:A)*(all_inputs!J389=end!C:C),0))</f>
        <v>0</v>
      </c>
      <c r="P389" s="4" cm="1">
        <f t="array" ref="P389">INDEX(end!F:F,MATCH(1, (all_inputs!A389=end!A:A)*(all_inputs!J389=end!C:C),0))</f>
        <v>0.8</v>
      </c>
      <c r="Q389" s="4" cm="1">
        <f t="array" ref="Q389">INDEX(end!G:G,MATCH(1, (all_inputs!A389=end!A:A)*(all_inputs!J389=end!C:C),0))</f>
        <v>0.72000000000000008</v>
      </c>
      <c r="R389" s="4">
        <f>VLOOKUP(A389,ui!A$37:G$52,4,FALSE)</f>
        <v>4.0500000000000008E-2</v>
      </c>
      <c r="S389" s="4" cm="1">
        <f t="array" ref="S389">INDEX(begin!I:I,MATCH(1, (all_inputs!A389=begin!A:A)*(all_inputs!J389=begin!C:C),0))</f>
        <v>0</v>
      </c>
      <c r="T389" s="4" cm="1">
        <f t="array" ref="T389">INDEX(begin!J:J,MATCH(1, (all_inputs!A389=begin!A:A)*(all_inputs!J389=begin!C:C),0))</f>
        <v>1</v>
      </c>
      <c r="U389" s="4" cm="1">
        <f t="array" ref="U389">INDEX(begin!K:K,MATCH(1, (all_inputs!A389=begin!A:A)*(all_inputs!J389=begin!C:C),0))</f>
        <v>0</v>
      </c>
      <c r="V389" s="4" cm="1">
        <f t="array" ref="V389">INDEX(begin!L:L,MATCH(1, (all_inputs!A389=begin!A:A)*(all_inputs!J389=begin!C:C),0))</f>
        <v>0</v>
      </c>
      <c r="W389" s="4" cm="1">
        <f t="array" ref="W389">_xlfn.IFNA(INDEX(end!I:I,MATCH(1, (all_inputs!A389=end!A:A)*(all_inputs!J389=end!C:C),0)),"")</f>
        <v>0</v>
      </c>
      <c r="X389" s="4" cm="1">
        <f t="array" ref="X389">_xlfn.IFNA(INDEX(end!J:J,MATCH(1, (all_inputs!A389=end!A:A)*(all_inputs!J389=end!C:C),0)),"")</f>
        <v>1</v>
      </c>
      <c r="Y389" s="4" cm="1">
        <f t="array" ref="Y389">_xlfn.IFNA(INDEX(end!K:K,MATCH(1, (all_inputs!A389=end!A:A)*(all_inputs!J389=end!C:C),0)),"")</f>
        <v>0</v>
      </c>
      <c r="Z389" s="4" cm="1">
        <f t="array" ref="Z389">_xlfn.IFNA(INDEX(end!L:L,MATCH(1, (all_inputs!A389=end!A:A)*(all_inputs!J389=end!C:C),0)),"")</f>
        <v>0</v>
      </c>
      <c r="AA389" t="b">
        <f>VLOOKUP(A389,ui!A$37:B$52,2,FALSE)</f>
        <v>0</v>
      </c>
    </row>
    <row r="390" spans="1:27" x14ac:dyDescent="0.25">
      <c r="A390" t="s">
        <v>12</v>
      </c>
      <c r="B390" s="40">
        <f>IF(COUNTIF(dropdown!B$2:B$12,all_inputs!A390)=1,1,IF(COUNTIF(dropdown!C$2:C$4,all_inputs!A390)=1,2,IF(COUNTIF(dropdown!D$2:D$3,all_inputs!A390)=1,3,"?")))</f>
        <v>1</v>
      </c>
      <c r="C390" t="s">
        <v>17</v>
      </c>
      <c r="D390" t="s">
        <v>468</v>
      </c>
      <c r="E390" t="s">
        <v>440</v>
      </c>
      <c r="F390" s="4">
        <v>1</v>
      </c>
      <c r="G390" s="4">
        <f>ui!B$4</f>
        <v>2025</v>
      </c>
      <c r="H390" s="4">
        <f>ui!B$5</f>
        <v>2050</v>
      </c>
      <c r="I390" s="4" t="s">
        <v>93</v>
      </c>
      <c r="J390" s="4" t="str">
        <f>VLOOKUP(ui!B$2,dropdown!M:O,3,FALSE)</f>
        <v>LIC</v>
      </c>
      <c r="K390" s="4" cm="1">
        <f t="array" ref="K390">INDEX(begin!E:E,MATCH(1, (all_inputs!A390=begin!A:A)*(all_inputs!J390=begin!C:C),0))</f>
        <v>0</v>
      </c>
      <c r="L390" s="4" cm="1">
        <f t="array" ref="L390">INDEX(begin!F:F,MATCH(1, (all_inputs!A390=begin!A:A)*(all_inputs!J390=begin!C:C),0))</f>
        <v>0.05</v>
      </c>
      <c r="M390" s="4" cm="1">
        <f t="array" ref="M390">INDEX(begin!G:G,MATCH(1, (all_inputs!A390=begin!A:A)*(all_inputs!J390=begin!C:C),0))</f>
        <v>4.5000000000000005E-2</v>
      </c>
      <c r="N390" s="4">
        <f>VLOOKUP(A390,ui!A$37:C$52,3,FALSE)</f>
        <v>4.5000000000000005E-2</v>
      </c>
      <c r="O390" s="4" cm="1">
        <f t="array" ref="O390">INDEX(end!E:E,MATCH(1, (all_inputs!A390=end!A:A)*(all_inputs!J390=end!C:C),0))</f>
        <v>0</v>
      </c>
      <c r="P390" s="4" cm="1">
        <f t="array" ref="P390">INDEX(end!F:F,MATCH(1, (all_inputs!A390=end!A:A)*(all_inputs!J390=end!C:C),0))</f>
        <v>0.8</v>
      </c>
      <c r="Q390" s="4" cm="1">
        <f t="array" ref="Q390">INDEX(end!G:G,MATCH(1, (all_inputs!A390=end!A:A)*(all_inputs!J390=end!C:C),0))</f>
        <v>0.72000000000000008</v>
      </c>
      <c r="R390" s="4">
        <f>VLOOKUP(A390,ui!A$37:G$52,4,FALSE)</f>
        <v>4.0500000000000008E-2</v>
      </c>
      <c r="S390" s="4" cm="1">
        <f t="array" ref="S390">INDEX(begin!I:I,MATCH(1, (all_inputs!A390=begin!A:A)*(all_inputs!J390=begin!C:C),0))</f>
        <v>0</v>
      </c>
      <c r="T390" s="4" cm="1">
        <f t="array" ref="T390">INDEX(begin!J:J,MATCH(1, (all_inputs!A390=begin!A:A)*(all_inputs!J390=begin!C:C),0))</f>
        <v>1</v>
      </c>
      <c r="U390" s="4" cm="1">
        <f t="array" ref="U390">INDEX(begin!K:K,MATCH(1, (all_inputs!A390=begin!A:A)*(all_inputs!J390=begin!C:C),0))</f>
        <v>0</v>
      </c>
      <c r="V390" s="4" cm="1">
        <f t="array" ref="V390">INDEX(begin!L:L,MATCH(1, (all_inputs!A390=begin!A:A)*(all_inputs!J390=begin!C:C),0))</f>
        <v>0</v>
      </c>
      <c r="W390" s="4" cm="1">
        <f t="array" ref="W390">_xlfn.IFNA(INDEX(end!I:I,MATCH(1, (all_inputs!A390=end!A:A)*(all_inputs!J390=end!C:C),0)),"")</f>
        <v>0</v>
      </c>
      <c r="X390" s="4" cm="1">
        <f t="array" ref="X390">_xlfn.IFNA(INDEX(end!J:J,MATCH(1, (all_inputs!A390=end!A:A)*(all_inputs!J390=end!C:C),0)),"")</f>
        <v>1</v>
      </c>
      <c r="Y390" s="4" cm="1">
        <f t="array" ref="Y390">_xlfn.IFNA(INDEX(end!K:K,MATCH(1, (all_inputs!A390=end!A:A)*(all_inputs!J390=end!C:C),0)),"")</f>
        <v>0</v>
      </c>
      <c r="Z390" s="4" cm="1">
        <f t="array" ref="Z390">_xlfn.IFNA(INDEX(end!L:L,MATCH(1, (all_inputs!A390=end!A:A)*(all_inputs!J390=end!C:C),0)),"")</f>
        <v>0</v>
      </c>
      <c r="AA390" t="b">
        <f>VLOOKUP(A390,ui!A$37:B$52,2,FALSE)</f>
        <v>0</v>
      </c>
    </row>
    <row r="391" spans="1:27" x14ac:dyDescent="0.25">
      <c r="A391" s="2" t="s">
        <v>12</v>
      </c>
      <c r="B391" s="41">
        <f>IF(COUNTIF(dropdown!B$2:B$12,all_inputs!A391)=1,1,IF(COUNTIF(dropdown!C$2:C$4,all_inputs!A391)=1,2,IF(COUNTIF(dropdown!D$2:D$3,all_inputs!A391)=1,3,"?")))</f>
        <v>1</v>
      </c>
      <c r="C391" s="2" t="s">
        <v>18</v>
      </c>
      <c r="D391" s="2" t="s">
        <v>469</v>
      </c>
      <c r="E391" s="2" t="s">
        <v>440</v>
      </c>
      <c r="F391" s="2">
        <f>RR!F2</f>
        <v>0.9</v>
      </c>
      <c r="G391" s="5">
        <f>ui!B$4</f>
        <v>2025</v>
      </c>
      <c r="H391" s="5">
        <f>ui!B$5</f>
        <v>2050</v>
      </c>
      <c r="I391" s="5" t="s">
        <v>93</v>
      </c>
      <c r="J391" s="5" t="str">
        <f>VLOOKUP(ui!B$2,dropdown!M:O,3,FALSE)</f>
        <v>LIC</v>
      </c>
      <c r="K391" s="5" cm="1">
        <f t="array" ref="K391">INDEX(begin!E:E,MATCH(1, (all_inputs!A391=begin!A:A)*(all_inputs!J391=begin!C:C),0))</f>
        <v>0</v>
      </c>
      <c r="L391" s="5" cm="1">
        <f t="array" ref="L391">INDEX(begin!F:F,MATCH(1, (all_inputs!A391=begin!A:A)*(all_inputs!J391=begin!C:C),0))</f>
        <v>0.05</v>
      </c>
      <c r="M391" s="5" cm="1">
        <f t="array" ref="M391">INDEX(begin!G:G,MATCH(1, (all_inputs!A391=begin!A:A)*(all_inputs!J391=begin!C:C),0))</f>
        <v>4.5000000000000005E-2</v>
      </c>
      <c r="N391" s="5">
        <f>VLOOKUP(A391,ui!A$37:C$52,3,FALSE)</f>
        <v>4.5000000000000005E-2</v>
      </c>
      <c r="O391" s="5" cm="1">
        <f t="array" ref="O391">INDEX(end!E:E,MATCH(1, (all_inputs!A391=end!A:A)*(all_inputs!J391=end!C:C),0))</f>
        <v>0</v>
      </c>
      <c r="P391" s="5" cm="1">
        <f t="array" ref="P391">INDEX(end!F:F,MATCH(1, (all_inputs!A391=end!A:A)*(all_inputs!J391=end!C:C),0))</f>
        <v>0.8</v>
      </c>
      <c r="Q391" s="5" cm="1">
        <f t="array" ref="Q391">INDEX(end!G:G,MATCH(1, (all_inputs!A391=end!A:A)*(all_inputs!J391=end!C:C),0))</f>
        <v>0.72000000000000008</v>
      </c>
      <c r="R391" s="5">
        <f>VLOOKUP(A391,ui!A$37:G$52,4,FALSE)</f>
        <v>4.0500000000000008E-2</v>
      </c>
      <c r="S391" s="5" cm="1">
        <f t="array" ref="S391">INDEX(begin!I:I,MATCH(1, (all_inputs!A391=begin!A:A)*(all_inputs!J391=begin!C:C),0))</f>
        <v>0</v>
      </c>
      <c r="T391" s="5" cm="1">
        <f t="array" ref="T391">INDEX(begin!J:J,MATCH(1, (all_inputs!A391=begin!A:A)*(all_inputs!J391=begin!C:C),0))</f>
        <v>1</v>
      </c>
      <c r="U391" s="5" cm="1">
        <f t="array" ref="U391">INDEX(begin!K:K,MATCH(1, (all_inputs!A391=begin!A:A)*(all_inputs!J391=begin!C:C),0))</f>
        <v>0</v>
      </c>
      <c r="V391" s="5" cm="1">
        <f t="array" ref="V391">INDEX(begin!L:L,MATCH(1, (all_inputs!A391=begin!A:A)*(all_inputs!J391=begin!C:C),0))</f>
        <v>0</v>
      </c>
      <c r="W391" s="5" cm="1">
        <f t="array" ref="W391">_xlfn.IFNA(INDEX(end!I:I,MATCH(1, (all_inputs!A391=end!A:A)*(all_inputs!J391=end!C:C),0)),"")</f>
        <v>0</v>
      </c>
      <c r="X391" s="5" cm="1">
        <f t="array" ref="X391">_xlfn.IFNA(INDEX(end!J:J,MATCH(1, (all_inputs!A391=end!A:A)*(all_inputs!J391=end!C:C),0)),"")</f>
        <v>1</v>
      </c>
      <c r="Y391" s="5" cm="1">
        <f t="array" ref="Y391">_xlfn.IFNA(INDEX(end!K:K,MATCH(1, (all_inputs!A391=end!A:A)*(all_inputs!J391=end!C:C),0)),"")</f>
        <v>0</v>
      </c>
      <c r="Z391" s="5" cm="1">
        <f t="array" ref="Z391">_xlfn.IFNA(INDEX(end!L:L,MATCH(1, (all_inputs!A391=end!A:A)*(all_inputs!J391=end!C:C),0)),"")</f>
        <v>0</v>
      </c>
      <c r="AA391" s="2" t="b">
        <f>VLOOKUP(A391,ui!A$37:B$52,2,FALSE)</f>
        <v>0</v>
      </c>
    </row>
    <row r="392" spans="1:27" x14ac:dyDescent="0.25">
      <c r="A392" t="s">
        <v>19</v>
      </c>
      <c r="B392" s="40">
        <f>IF(COUNTIF(dropdown!B$2:B$12,all_inputs!A392)=1,1,IF(COUNTIF(dropdown!C$2:C$4,all_inputs!A392)=1,2,IF(COUNTIF(dropdown!D$2:D$3,all_inputs!A392)=1,3,"?")))</f>
        <v>2</v>
      </c>
      <c r="C392" t="s">
        <v>13</v>
      </c>
      <c r="D392" t="s">
        <v>472</v>
      </c>
      <c r="E392" t="s">
        <v>440</v>
      </c>
      <c r="F392" s="4" cm="1">
        <f t="array" ref="F392">IF(B392&lt;&gt;3,1,_xlfn.IFNA(INDEX(#REF!,MATCH(1, (all_inputs!A392=#REF!)*(all_inputs!D392=#REF!),0)),1))</f>
        <v>1</v>
      </c>
      <c r="G392" s="4">
        <f>ui!B$4</f>
        <v>2025</v>
      </c>
      <c r="H392" s="4">
        <f>ui!B$5</f>
        <v>2050</v>
      </c>
      <c r="I392" s="4" t="s">
        <v>93</v>
      </c>
      <c r="J392" s="4" t="str">
        <f>VLOOKUP(ui!B$2,dropdown!M:O,3,FALSE)</f>
        <v>LIC</v>
      </c>
      <c r="K392" s="4" cm="1">
        <f t="array" ref="K392">INDEX(begin!E:E,MATCH(1, (all_inputs!A392=begin!A:A)*(all_inputs!J392=begin!C:C),0))</f>
        <v>0.05</v>
      </c>
      <c r="L392" s="4" cm="1">
        <f t="array" ref="L392">INDEX(begin!F:F,MATCH(1, (all_inputs!A392=begin!A:A)*(all_inputs!J392=begin!C:C),0))</f>
        <v>4.0000000000000008E-2</v>
      </c>
      <c r="M392" s="4" cm="1">
        <f t="array" ref="M392">INDEX(begin!G:G,MATCH(1, (all_inputs!A392=begin!A:A)*(all_inputs!J392=begin!C:C),0))</f>
        <v>3.6000000000000011E-2</v>
      </c>
      <c r="N392" s="4">
        <f>VLOOKUP(A392,ui!A$37:C$52,3,FALSE)</f>
        <v>3.6000000000000011E-2</v>
      </c>
      <c r="O392" s="4" cm="1">
        <f t="array" ref="O392">INDEX(end!E:E,MATCH(1, (all_inputs!A392=end!A:A)*(all_inputs!J392=end!C:C),0))</f>
        <v>0.8</v>
      </c>
      <c r="P392" s="4" cm="1">
        <f t="array" ref="P392">INDEX(end!F:F,MATCH(1, (all_inputs!A392=end!A:A)*(all_inputs!J392=end!C:C),0))</f>
        <v>0.72000000000000008</v>
      </c>
      <c r="Q392" s="4" cm="1">
        <f t="array" ref="Q392">INDEX(end!G:G,MATCH(1, (all_inputs!A392=end!A:A)*(all_inputs!J392=end!C:C),0))</f>
        <v>0.64800000000000013</v>
      </c>
      <c r="R392" s="4">
        <f>VLOOKUP(A392,ui!A$37:G$52,4,FALSE)</f>
        <v>3.2400000000000012E-2</v>
      </c>
      <c r="S392" s="4" cm="1">
        <f t="array" ref="S392">INDEX(begin!I:I,MATCH(1, (all_inputs!A392=begin!A:A)*(all_inputs!J392=begin!C:C),0))</f>
        <v>0</v>
      </c>
      <c r="T392" s="4" cm="1">
        <f t="array" ref="T392">INDEX(begin!J:J,MATCH(1, (all_inputs!A392=begin!A:A)*(all_inputs!J392=begin!C:C),0))</f>
        <v>0.05</v>
      </c>
      <c r="U392" s="4" cm="1">
        <f t="array" ref="U392">INDEX(begin!K:K,MATCH(1, (all_inputs!A392=begin!A:A)*(all_inputs!J392=begin!C:C),0))</f>
        <v>0.35</v>
      </c>
      <c r="V392" s="4" cm="1">
        <f t="array" ref="V392">INDEX(begin!L:L,MATCH(1, (all_inputs!A392=begin!A:A)*(all_inputs!J392=begin!C:C),0))</f>
        <v>0.6</v>
      </c>
      <c r="W392" s="21">
        <v>0</v>
      </c>
      <c r="X392" s="21">
        <v>0.3</v>
      </c>
      <c r="Y392" s="21">
        <v>0.4</v>
      </c>
      <c r="Z392" s="21">
        <v>0.3</v>
      </c>
      <c r="AA392" t="b">
        <f>VLOOKUP(A392,ui!A$37:B$52,2,FALSE)</f>
        <v>1</v>
      </c>
    </row>
    <row r="393" spans="1:27" x14ac:dyDescent="0.25">
      <c r="A393" t="s">
        <v>19</v>
      </c>
      <c r="B393" s="40">
        <f>IF(COUNTIF(dropdown!B$2:B$12,all_inputs!A393)=1,1,IF(COUNTIF(dropdown!C$2:C$4,all_inputs!A393)=1,2,IF(COUNTIF(dropdown!D$2:D$3,all_inputs!A393)=1,3,"?")))</f>
        <v>2</v>
      </c>
      <c r="C393" t="s">
        <v>14</v>
      </c>
      <c r="D393" t="s">
        <v>466</v>
      </c>
      <c r="E393" t="s">
        <v>440</v>
      </c>
      <c r="F393">
        <v>1</v>
      </c>
      <c r="G393" s="4">
        <f>ui!B$4</f>
        <v>2025</v>
      </c>
      <c r="H393" s="4">
        <f>ui!B$5</f>
        <v>2050</v>
      </c>
      <c r="I393" s="4" t="s">
        <v>93</v>
      </c>
      <c r="J393" s="4" t="str">
        <f>VLOOKUP(ui!B$2,dropdown!M:O,3,FALSE)</f>
        <v>LIC</v>
      </c>
      <c r="K393" s="4" cm="1">
        <f t="array" ref="K393">INDEX(begin!E:E,MATCH(1, (all_inputs!A393=begin!A:A)*(all_inputs!J393=begin!C:C),0))</f>
        <v>0.05</v>
      </c>
      <c r="L393" s="4" cm="1">
        <f t="array" ref="L393">INDEX(begin!F:F,MATCH(1, (all_inputs!A393=begin!A:A)*(all_inputs!J393=begin!C:C),0))</f>
        <v>4.0000000000000008E-2</v>
      </c>
      <c r="M393" s="4" cm="1">
        <f t="array" ref="M393">INDEX(begin!G:G,MATCH(1, (all_inputs!A393=begin!A:A)*(all_inputs!J393=begin!C:C),0))</f>
        <v>3.6000000000000011E-2</v>
      </c>
      <c r="N393" s="4">
        <f>VLOOKUP(A393,ui!A$37:C$52,3,FALSE)</f>
        <v>3.6000000000000011E-2</v>
      </c>
      <c r="O393" s="4" cm="1">
        <f t="array" ref="O393">INDEX(end!E:E,MATCH(1, (all_inputs!A393=end!A:A)*(all_inputs!J393=end!C:C),0))</f>
        <v>0.8</v>
      </c>
      <c r="P393" s="4" cm="1">
        <f t="array" ref="P393">INDEX(end!F:F,MATCH(1, (all_inputs!A393=end!A:A)*(all_inputs!J393=end!C:C),0))</f>
        <v>0.72000000000000008</v>
      </c>
      <c r="Q393" s="4" cm="1">
        <f t="array" ref="Q393">INDEX(end!G:G,MATCH(1, (all_inputs!A393=end!A:A)*(all_inputs!J393=end!C:C),0))</f>
        <v>0.64800000000000013</v>
      </c>
      <c r="R393" s="4">
        <f>VLOOKUP(A393,ui!A$37:G$52,4,FALSE)</f>
        <v>3.2400000000000012E-2</v>
      </c>
      <c r="S393" s="4" cm="1">
        <f t="array" ref="S393">INDEX(begin!I:I,MATCH(1, (all_inputs!A393=begin!A:A)*(all_inputs!J393=begin!C:C),0))</f>
        <v>0</v>
      </c>
      <c r="T393" s="4" cm="1">
        <f t="array" ref="T393">INDEX(begin!J:J,MATCH(1, (all_inputs!A393=begin!A:A)*(all_inputs!J393=begin!C:C),0))</f>
        <v>0.05</v>
      </c>
      <c r="U393" s="4" cm="1">
        <f t="array" ref="U393">INDEX(begin!K:K,MATCH(1, (all_inputs!A393=begin!A:A)*(all_inputs!J393=begin!C:C),0))</f>
        <v>0.35</v>
      </c>
      <c r="V393" s="4" cm="1">
        <f t="array" ref="V393">INDEX(begin!L:L,MATCH(1, (all_inputs!A393=begin!A:A)*(all_inputs!J393=begin!C:C),0))</f>
        <v>0.6</v>
      </c>
      <c r="W393" s="21">
        <v>0</v>
      </c>
      <c r="X393" s="21">
        <v>0.3</v>
      </c>
      <c r="Y393" s="21">
        <v>0.4</v>
      </c>
      <c r="Z393" s="21">
        <v>0.3</v>
      </c>
      <c r="AA393" t="b">
        <f>VLOOKUP(A393,ui!A$37:B$52,2,FALSE)</f>
        <v>1</v>
      </c>
    </row>
    <row r="394" spans="1:27" x14ac:dyDescent="0.25">
      <c r="A394" t="s">
        <v>19</v>
      </c>
      <c r="B394" s="40">
        <f>IF(COUNTIF(dropdown!B$2:B$12,all_inputs!A394)=1,1,IF(COUNTIF(dropdown!C$2:C$4,all_inputs!A394)=1,2,IF(COUNTIF(dropdown!D$2:D$3,all_inputs!A394)=1,3,"?")))</f>
        <v>2</v>
      </c>
      <c r="C394" t="s">
        <v>15</v>
      </c>
      <c r="D394" t="s">
        <v>466</v>
      </c>
      <c r="E394" t="s">
        <v>440</v>
      </c>
      <c r="F394" s="4">
        <v>1</v>
      </c>
      <c r="G394" s="4">
        <f>ui!B$4</f>
        <v>2025</v>
      </c>
      <c r="H394" s="4">
        <f>ui!B$5</f>
        <v>2050</v>
      </c>
      <c r="I394" s="4" t="s">
        <v>93</v>
      </c>
      <c r="J394" s="4" t="str">
        <f>VLOOKUP(ui!B$2,dropdown!M:O,3,FALSE)</f>
        <v>LIC</v>
      </c>
      <c r="K394" s="4" cm="1">
        <f t="array" ref="K394">INDEX(begin!E:E,MATCH(1, (all_inputs!A394=begin!A:A)*(all_inputs!J394=begin!C:C),0))</f>
        <v>0.05</v>
      </c>
      <c r="L394" s="4" cm="1">
        <f t="array" ref="L394">INDEX(begin!F:F,MATCH(1, (all_inputs!A394=begin!A:A)*(all_inputs!J394=begin!C:C),0))</f>
        <v>4.0000000000000008E-2</v>
      </c>
      <c r="M394" s="4" cm="1">
        <f t="array" ref="M394">INDEX(begin!G:G,MATCH(1, (all_inputs!A394=begin!A:A)*(all_inputs!J394=begin!C:C),0))</f>
        <v>3.6000000000000011E-2</v>
      </c>
      <c r="N394" s="4">
        <f>VLOOKUP(A394,ui!A$37:C$52,3,FALSE)</f>
        <v>3.6000000000000011E-2</v>
      </c>
      <c r="O394" s="4" cm="1">
        <f t="array" ref="O394">INDEX(end!E:E,MATCH(1, (all_inputs!A394=end!A:A)*(all_inputs!J394=end!C:C),0))</f>
        <v>0.8</v>
      </c>
      <c r="P394" s="4" cm="1">
        <f t="array" ref="P394">INDEX(end!F:F,MATCH(1, (all_inputs!A394=end!A:A)*(all_inputs!J394=end!C:C),0))</f>
        <v>0.72000000000000008</v>
      </c>
      <c r="Q394" s="4" cm="1">
        <f t="array" ref="Q394">INDEX(end!G:G,MATCH(1, (all_inputs!A394=end!A:A)*(all_inputs!J394=end!C:C),0))</f>
        <v>0.64800000000000013</v>
      </c>
      <c r="R394" s="4">
        <f>VLOOKUP(A394,ui!A$37:G$52,4,FALSE)</f>
        <v>3.2400000000000012E-2</v>
      </c>
      <c r="S394" s="4" cm="1">
        <f t="array" ref="S394">INDEX(begin!I:I,MATCH(1, (all_inputs!A394=begin!A:A)*(all_inputs!J394=begin!C:C),0))</f>
        <v>0</v>
      </c>
      <c r="T394" s="4" cm="1">
        <f t="array" ref="T394">INDEX(begin!J:J,MATCH(1, (all_inputs!A394=begin!A:A)*(all_inputs!J394=begin!C:C),0))</f>
        <v>0.05</v>
      </c>
      <c r="U394" s="4" cm="1">
        <f t="array" ref="U394">INDEX(begin!K:K,MATCH(1, (all_inputs!A394=begin!A:A)*(all_inputs!J394=begin!C:C),0))</f>
        <v>0.35</v>
      </c>
      <c r="V394" s="4" cm="1">
        <f t="array" ref="V394">INDEX(begin!L:L,MATCH(1, (all_inputs!A394=begin!A:A)*(all_inputs!J394=begin!C:C),0))</f>
        <v>0.6</v>
      </c>
      <c r="W394" s="21">
        <v>0</v>
      </c>
      <c r="X394" s="21">
        <v>0.3</v>
      </c>
      <c r="Y394" s="21">
        <v>0.4</v>
      </c>
      <c r="Z394" s="21">
        <v>0.3</v>
      </c>
      <c r="AA394" t="b">
        <f>VLOOKUP(A394,ui!A$37:B$52,2,FALSE)</f>
        <v>1</v>
      </c>
    </row>
    <row r="395" spans="1:27" x14ac:dyDescent="0.25">
      <c r="A395" t="s">
        <v>19</v>
      </c>
      <c r="B395" s="40">
        <f>IF(COUNTIF(dropdown!B$2:B$12,all_inputs!A395)=1,1,IF(COUNTIF(dropdown!C$2:C$4,all_inputs!A395)=1,2,IF(COUNTIF(dropdown!D$2:D$3,all_inputs!A395)=1,3,"?")))</f>
        <v>2</v>
      </c>
      <c r="C395" t="s">
        <v>16</v>
      </c>
      <c r="D395" t="s">
        <v>467</v>
      </c>
      <c r="E395" t="s">
        <v>440</v>
      </c>
      <c r="F395">
        <f>RR!D3</f>
        <v>0.1</v>
      </c>
      <c r="G395" s="4">
        <f>ui!B$4</f>
        <v>2025</v>
      </c>
      <c r="H395" s="4">
        <f>ui!B$5</f>
        <v>2050</v>
      </c>
      <c r="I395" s="4" t="s">
        <v>93</v>
      </c>
      <c r="J395" s="4" t="str">
        <f>VLOOKUP(ui!B$2,dropdown!M:O,3,FALSE)</f>
        <v>LIC</v>
      </c>
      <c r="K395" s="4" cm="1">
        <f t="array" ref="K395">INDEX(begin!E:E,MATCH(1, (all_inputs!A395=begin!A:A)*(all_inputs!J395=begin!C:C),0))</f>
        <v>0.05</v>
      </c>
      <c r="L395" s="4" cm="1">
        <f t="array" ref="L395">INDEX(begin!F:F,MATCH(1, (all_inputs!A395=begin!A:A)*(all_inputs!J395=begin!C:C),0))</f>
        <v>4.0000000000000008E-2</v>
      </c>
      <c r="M395" s="4" cm="1">
        <f t="array" ref="M395">INDEX(begin!G:G,MATCH(1, (all_inputs!A395=begin!A:A)*(all_inputs!J395=begin!C:C),0))</f>
        <v>3.6000000000000011E-2</v>
      </c>
      <c r="N395" s="4">
        <f>VLOOKUP(A395,ui!A$37:C$52,3,FALSE)</f>
        <v>3.6000000000000011E-2</v>
      </c>
      <c r="O395" s="4" cm="1">
        <f t="array" ref="O395">INDEX(end!E:E,MATCH(1, (all_inputs!A395=end!A:A)*(all_inputs!J395=end!C:C),0))</f>
        <v>0.8</v>
      </c>
      <c r="P395" s="4" cm="1">
        <f t="array" ref="P395">INDEX(end!F:F,MATCH(1, (all_inputs!A395=end!A:A)*(all_inputs!J395=end!C:C),0))</f>
        <v>0.72000000000000008</v>
      </c>
      <c r="Q395" s="4" cm="1">
        <f t="array" ref="Q395">INDEX(end!G:G,MATCH(1, (all_inputs!A395=end!A:A)*(all_inputs!J395=end!C:C),0))</f>
        <v>0.64800000000000013</v>
      </c>
      <c r="R395" s="4">
        <f>VLOOKUP(A395,ui!A$37:G$52,4,FALSE)</f>
        <v>3.2400000000000012E-2</v>
      </c>
      <c r="S395" s="4" cm="1">
        <f t="array" ref="S395">INDEX(begin!I:I,MATCH(1, (all_inputs!A395=begin!A:A)*(all_inputs!J395=begin!C:C),0))</f>
        <v>0</v>
      </c>
      <c r="T395" s="4" cm="1">
        <f t="array" ref="T395">INDEX(begin!J:J,MATCH(1, (all_inputs!A395=begin!A:A)*(all_inputs!J395=begin!C:C),0))</f>
        <v>0.05</v>
      </c>
      <c r="U395" s="4" cm="1">
        <f t="array" ref="U395">INDEX(begin!K:K,MATCH(1, (all_inputs!A395=begin!A:A)*(all_inputs!J395=begin!C:C),0))</f>
        <v>0.35</v>
      </c>
      <c r="V395" s="4" cm="1">
        <f t="array" ref="V395">INDEX(begin!L:L,MATCH(1, (all_inputs!A395=begin!A:A)*(all_inputs!J395=begin!C:C),0))</f>
        <v>0.6</v>
      </c>
      <c r="W395" s="21">
        <v>0</v>
      </c>
      <c r="X395" s="21">
        <v>0.3</v>
      </c>
      <c r="Y395" s="21">
        <v>0.4</v>
      </c>
      <c r="Z395" s="21">
        <v>0.3</v>
      </c>
      <c r="AA395" t="b">
        <f>VLOOKUP(A395,ui!A$37:B$52,2,FALSE)</f>
        <v>1</v>
      </c>
    </row>
    <row r="396" spans="1:27" x14ac:dyDescent="0.25">
      <c r="A396" t="s">
        <v>19</v>
      </c>
      <c r="B396" s="40">
        <f>IF(COUNTIF(dropdown!B$2:B$12,all_inputs!A396)=1,1,IF(COUNTIF(dropdown!C$2:C$4,all_inputs!A396)=1,2,IF(COUNTIF(dropdown!D$2:D$3,all_inputs!A396)=1,3,"?")))</f>
        <v>2</v>
      </c>
      <c r="C396" t="s">
        <v>17</v>
      </c>
      <c r="D396" t="s">
        <v>468</v>
      </c>
      <c r="E396" t="s">
        <v>440</v>
      </c>
      <c r="F396">
        <f>RR!E3</f>
        <v>0.5</v>
      </c>
      <c r="G396" s="4">
        <f>ui!B$4</f>
        <v>2025</v>
      </c>
      <c r="H396" s="4">
        <f>ui!B$5</f>
        <v>2050</v>
      </c>
      <c r="I396" s="4" t="s">
        <v>93</v>
      </c>
      <c r="J396" s="4" t="str">
        <f>VLOOKUP(ui!B$2,dropdown!M:O,3,FALSE)</f>
        <v>LIC</v>
      </c>
      <c r="K396" s="4" cm="1">
        <f t="array" ref="K396">INDEX(begin!E:E,MATCH(1, (all_inputs!A396=begin!A:A)*(all_inputs!J396=begin!C:C),0))</f>
        <v>0.05</v>
      </c>
      <c r="L396" s="4" cm="1">
        <f t="array" ref="L396">INDEX(begin!F:F,MATCH(1, (all_inputs!A396=begin!A:A)*(all_inputs!J396=begin!C:C),0))</f>
        <v>4.0000000000000008E-2</v>
      </c>
      <c r="M396" s="4" cm="1">
        <f t="array" ref="M396">INDEX(begin!G:G,MATCH(1, (all_inputs!A396=begin!A:A)*(all_inputs!J396=begin!C:C),0))</f>
        <v>3.6000000000000011E-2</v>
      </c>
      <c r="N396" s="4">
        <f>VLOOKUP(A396,ui!A$37:C$52,3,FALSE)</f>
        <v>3.6000000000000011E-2</v>
      </c>
      <c r="O396" s="4" cm="1">
        <f t="array" ref="O396">INDEX(end!E:E,MATCH(1, (all_inputs!A396=end!A:A)*(all_inputs!J396=end!C:C),0))</f>
        <v>0.8</v>
      </c>
      <c r="P396" s="4" cm="1">
        <f t="array" ref="P396">INDEX(end!F:F,MATCH(1, (all_inputs!A396=end!A:A)*(all_inputs!J396=end!C:C),0))</f>
        <v>0.72000000000000008</v>
      </c>
      <c r="Q396" s="4" cm="1">
        <f t="array" ref="Q396">INDEX(end!G:G,MATCH(1, (all_inputs!A396=end!A:A)*(all_inputs!J396=end!C:C),0))</f>
        <v>0.64800000000000013</v>
      </c>
      <c r="R396" s="4">
        <f>VLOOKUP(A396,ui!A$37:G$52,4,FALSE)</f>
        <v>3.2400000000000012E-2</v>
      </c>
      <c r="S396" s="4" cm="1">
        <f t="array" ref="S396">INDEX(begin!I:I,MATCH(1, (all_inputs!A396=begin!A:A)*(all_inputs!J396=begin!C:C),0))</f>
        <v>0</v>
      </c>
      <c r="T396" s="4" cm="1">
        <f t="array" ref="T396">INDEX(begin!J:J,MATCH(1, (all_inputs!A396=begin!A:A)*(all_inputs!J396=begin!C:C),0))</f>
        <v>0.05</v>
      </c>
      <c r="U396" s="4" cm="1">
        <f t="array" ref="U396">INDEX(begin!K:K,MATCH(1, (all_inputs!A396=begin!A:A)*(all_inputs!J396=begin!C:C),0))</f>
        <v>0.35</v>
      </c>
      <c r="V396" s="4" cm="1">
        <f t="array" ref="V396">INDEX(begin!L:L,MATCH(1, (all_inputs!A396=begin!A:A)*(all_inputs!J396=begin!C:C),0))</f>
        <v>0.6</v>
      </c>
      <c r="W396" s="21">
        <v>0</v>
      </c>
      <c r="X396" s="21">
        <v>0.3</v>
      </c>
      <c r="Y396" s="21">
        <v>0.4</v>
      </c>
      <c r="Z396" s="21">
        <v>0.3</v>
      </c>
      <c r="AA396" t="b">
        <f>VLOOKUP(A396,ui!A$37:B$52,2,FALSE)</f>
        <v>1</v>
      </c>
    </row>
    <row r="397" spans="1:27" x14ac:dyDescent="0.25">
      <c r="A397" s="2" t="s">
        <v>19</v>
      </c>
      <c r="B397" s="41">
        <f>IF(COUNTIF(dropdown!B$2:B$12,all_inputs!A397)=1,1,IF(COUNTIF(dropdown!C$2:C$4,all_inputs!A397)=1,2,IF(COUNTIF(dropdown!D$2:D$3,all_inputs!A397)=1,3,"?")))</f>
        <v>2</v>
      </c>
      <c r="C397" s="2" t="s">
        <v>18</v>
      </c>
      <c r="D397" s="2" t="s">
        <v>469</v>
      </c>
      <c r="E397" s="2" t="s">
        <v>440</v>
      </c>
      <c r="F397" s="2">
        <f>RR!F3</f>
        <v>0.9</v>
      </c>
      <c r="G397" s="5">
        <f>ui!B$4</f>
        <v>2025</v>
      </c>
      <c r="H397" s="5">
        <f>ui!B$5</f>
        <v>2050</v>
      </c>
      <c r="I397" s="5" t="s">
        <v>93</v>
      </c>
      <c r="J397" s="5" t="str">
        <f>VLOOKUP(ui!B$2,dropdown!M:O,3,FALSE)</f>
        <v>LIC</v>
      </c>
      <c r="K397" s="5" cm="1">
        <f t="array" ref="K397">INDEX(begin!E:E,MATCH(1, (all_inputs!A397=begin!A:A)*(all_inputs!J397=begin!C:C),0))</f>
        <v>0.05</v>
      </c>
      <c r="L397" s="5" cm="1">
        <f t="array" ref="L397">INDEX(begin!F:F,MATCH(1, (all_inputs!A397=begin!A:A)*(all_inputs!J397=begin!C:C),0))</f>
        <v>4.0000000000000008E-2</v>
      </c>
      <c r="M397" s="5" cm="1">
        <f t="array" ref="M397">INDEX(begin!G:G,MATCH(1, (all_inputs!A397=begin!A:A)*(all_inputs!J397=begin!C:C),0))</f>
        <v>3.6000000000000011E-2</v>
      </c>
      <c r="N397" s="5">
        <f>VLOOKUP(A397,ui!A$37:C$52,3,FALSE)</f>
        <v>3.6000000000000011E-2</v>
      </c>
      <c r="O397" s="5" cm="1">
        <f t="array" ref="O397">INDEX(end!E:E,MATCH(1, (all_inputs!A397=end!A:A)*(all_inputs!J397=end!C:C),0))</f>
        <v>0.8</v>
      </c>
      <c r="P397" s="5" cm="1">
        <f t="array" ref="P397">INDEX(end!F:F,MATCH(1, (all_inputs!A397=end!A:A)*(all_inputs!J397=end!C:C),0))</f>
        <v>0.72000000000000008</v>
      </c>
      <c r="Q397" s="5" cm="1">
        <f t="array" ref="Q397">INDEX(end!G:G,MATCH(1, (all_inputs!A397=end!A:A)*(all_inputs!J397=end!C:C),0))</f>
        <v>0.64800000000000013</v>
      </c>
      <c r="R397" s="5">
        <f>VLOOKUP(A397,ui!A$37:G$52,4,FALSE)</f>
        <v>3.2400000000000012E-2</v>
      </c>
      <c r="S397" s="5" cm="1">
        <f t="array" ref="S397">INDEX(begin!I:I,MATCH(1, (all_inputs!A397=begin!A:A)*(all_inputs!J397=begin!C:C),0))</f>
        <v>0</v>
      </c>
      <c r="T397" s="5" cm="1">
        <f t="array" ref="T397">INDEX(begin!J:J,MATCH(1, (all_inputs!A397=begin!A:A)*(all_inputs!J397=begin!C:C),0))</f>
        <v>0.05</v>
      </c>
      <c r="U397" s="5" cm="1">
        <f t="array" ref="U397">INDEX(begin!K:K,MATCH(1, (all_inputs!A397=begin!A:A)*(all_inputs!J397=begin!C:C),0))</f>
        <v>0.35</v>
      </c>
      <c r="V397" s="5" cm="1">
        <f t="array" ref="V397">INDEX(begin!L:L,MATCH(1, (all_inputs!A397=begin!A:A)*(all_inputs!J397=begin!C:C),0))</f>
        <v>0.6</v>
      </c>
      <c r="W397" s="22">
        <v>0</v>
      </c>
      <c r="X397" s="22">
        <v>0.3</v>
      </c>
      <c r="Y397" s="22">
        <v>0.4</v>
      </c>
      <c r="Z397" s="22">
        <v>0.3</v>
      </c>
      <c r="AA397" s="2" t="b">
        <f>VLOOKUP(A397,ui!A$37:B$52,2,FALSE)</f>
        <v>1</v>
      </c>
    </row>
    <row r="398" spans="1:27" x14ac:dyDescent="0.25">
      <c r="A398" t="s">
        <v>20</v>
      </c>
      <c r="B398" s="40">
        <f>IF(COUNTIF(dropdown!B$2:B$12,all_inputs!A398)=1,1,IF(COUNTIF(dropdown!C$2:C$4,all_inputs!A398)=1,2,IF(COUNTIF(dropdown!D$2:D$3,all_inputs!A398)=1,3,"?")))</f>
        <v>3</v>
      </c>
      <c r="C398" t="s">
        <v>13</v>
      </c>
      <c r="D398" t="s">
        <v>472</v>
      </c>
      <c r="E398" t="s">
        <v>440</v>
      </c>
      <c r="F398">
        <f>RR!B4</f>
        <v>0.05</v>
      </c>
      <c r="G398" s="4">
        <f>ui!B$4</f>
        <v>2025</v>
      </c>
      <c r="H398" s="4">
        <f>ui!B$5</f>
        <v>2050</v>
      </c>
      <c r="I398" s="4" t="s">
        <v>93</v>
      </c>
      <c r="J398" s="4" t="str">
        <f>VLOOKUP(ui!B$2,dropdown!M:O,3,FALSE)</f>
        <v>LIC</v>
      </c>
      <c r="K398" s="4" cm="1">
        <f t="array" ref="K398">INDEX(begin!E:E,MATCH(1, (all_inputs!A398=begin!A:A)*(all_inputs!J398=begin!C:C),0))</f>
        <v>0.09</v>
      </c>
      <c r="L398" s="4" cm="1">
        <f t="array" ref="L398">INDEX(begin!F:F,MATCH(1, (all_inputs!A398=begin!A:A)*(all_inputs!J398=begin!C:C),0))</f>
        <v>8.1000000000000003E-2</v>
      </c>
      <c r="M398" s="4" cm="1">
        <f t="array" ref="M398">INDEX(begin!G:G,MATCH(1, (all_inputs!A398=begin!A:A)*(all_inputs!J398=begin!C:C),0))</f>
        <v>7.2900000000000006E-2</v>
      </c>
      <c r="N398" s="4">
        <f>VLOOKUP(A398,ui!A$37:C$52,3,FALSE)</f>
        <v>7.2900000000000006E-2</v>
      </c>
      <c r="O398" s="4" cm="1">
        <f t="array" ref="O398">INDEX(end!E:E,MATCH(1, (all_inputs!A398=end!A:A)*(all_inputs!J398=end!C:C),0))</f>
        <v>0.8</v>
      </c>
      <c r="P398" s="4" cm="1">
        <f t="array" ref="P398">INDEX(end!F:F,MATCH(1, (all_inputs!A398=end!A:A)*(all_inputs!J398=end!C:C),0))</f>
        <v>0.72000000000000008</v>
      </c>
      <c r="Q398" s="4" cm="1">
        <f t="array" ref="Q398">INDEX(end!G:G,MATCH(1, (all_inputs!A398=end!A:A)*(all_inputs!J398=end!C:C),0))</f>
        <v>0.64800000000000013</v>
      </c>
      <c r="R398" s="4">
        <f>VLOOKUP(A398,ui!A$37:G$52,4,FALSE)</f>
        <v>6.5610000000000002E-2</v>
      </c>
      <c r="S398" s="4" cm="1">
        <f t="array" ref="S398">INDEX(begin!I:I,MATCH(1, (all_inputs!A398=begin!A:A)*(all_inputs!J398=begin!C:C),0))</f>
        <v>0.10519480519480519</v>
      </c>
      <c r="T398" s="4" cm="1">
        <f t="array" ref="T398">INDEX(begin!J:J,MATCH(1, (all_inputs!A398=begin!A:A)*(all_inputs!J398=begin!C:C),0))</f>
        <v>0.17896103896103899</v>
      </c>
      <c r="U398" s="4" cm="1">
        <f t="array" ref="U398">INDEX(begin!K:K,MATCH(1, (all_inputs!A398=begin!A:A)*(all_inputs!J398=begin!C:C),0))</f>
        <v>0.44740259740259741</v>
      </c>
      <c r="V398" s="4" cm="1">
        <f t="array" ref="V398">INDEX(begin!L:L,MATCH(1, (all_inputs!A398=begin!A:A)*(all_inputs!J398=begin!C:C),0))</f>
        <v>0.26844155844155843</v>
      </c>
      <c r="W398" s="21">
        <v>0.5025974025974026</v>
      </c>
      <c r="X398" s="21">
        <v>0.19896103896103898</v>
      </c>
      <c r="Y398" s="21">
        <v>0.19896103896103898</v>
      </c>
      <c r="Z398" s="21">
        <v>9.9480519480519489E-2</v>
      </c>
      <c r="AA398" t="b">
        <f>VLOOKUP(A398,ui!A$37:B$52,2,FALSE)</f>
        <v>1</v>
      </c>
    </row>
    <row r="399" spans="1:27" x14ac:dyDescent="0.25">
      <c r="A399" t="s">
        <v>20</v>
      </c>
      <c r="B399" s="40">
        <f>IF(COUNTIF(dropdown!B$2:B$12,all_inputs!A399)=1,1,IF(COUNTIF(dropdown!C$2:C$4,all_inputs!A399)=1,2,IF(COUNTIF(dropdown!D$2:D$3,all_inputs!A399)=1,3,"?")))</f>
        <v>3</v>
      </c>
      <c r="C399" t="s">
        <v>14</v>
      </c>
      <c r="D399" t="s">
        <v>466</v>
      </c>
      <c r="E399" t="s">
        <v>440</v>
      </c>
      <c r="F399" s="4">
        <v>1</v>
      </c>
      <c r="G399" s="4">
        <f>ui!B$4</f>
        <v>2025</v>
      </c>
      <c r="H399" s="4">
        <f>ui!B$5</f>
        <v>2050</v>
      </c>
      <c r="I399" s="4" t="s">
        <v>93</v>
      </c>
      <c r="J399" s="4" t="str">
        <f>VLOOKUP(ui!B$2,dropdown!M:O,3,FALSE)</f>
        <v>LIC</v>
      </c>
      <c r="K399" s="4" cm="1">
        <f t="array" ref="K399">INDEX(begin!E:E,MATCH(1, (all_inputs!A399=begin!A:A)*(all_inputs!J399=begin!C:C),0))</f>
        <v>0.09</v>
      </c>
      <c r="L399" s="4" cm="1">
        <f t="array" ref="L399">INDEX(begin!F:F,MATCH(1, (all_inputs!A399=begin!A:A)*(all_inputs!J399=begin!C:C),0))</f>
        <v>8.1000000000000003E-2</v>
      </c>
      <c r="M399" s="4" cm="1">
        <f t="array" ref="M399">INDEX(begin!G:G,MATCH(1, (all_inputs!A399=begin!A:A)*(all_inputs!J399=begin!C:C),0))</f>
        <v>7.2900000000000006E-2</v>
      </c>
      <c r="N399" s="4">
        <f>VLOOKUP(A399,ui!A$37:C$52,3,FALSE)</f>
        <v>7.2900000000000006E-2</v>
      </c>
      <c r="O399" s="4" cm="1">
        <f t="array" ref="O399">INDEX(end!E:E,MATCH(1, (all_inputs!A399=end!A:A)*(all_inputs!J399=end!C:C),0))</f>
        <v>0.8</v>
      </c>
      <c r="P399" s="4" cm="1">
        <f t="array" ref="P399">INDEX(end!F:F,MATCH(1, (all_inputs!A399=end!A:A)*(all_inputs!J399=end!C:C),0))</f>
        <v>0.72000000000000008</v>
      </c>
      <c r="Q399" s="4" cm="1">
        <f t="array" ref="Q399">INDEX(end!G:G,MATCH(1, (all_inputs!A399=end!A:A)*(all_inputs!J399=end!C:C),0))</f>
        <v>0.64800000000000013</v>
      </c>
      <c r="R399" s="4">
        <f>VLOOKUP(A399,ui!A$37:G$52,4,FALSE)</f>
        <v>6.5610000000000002E-2</v>
      </c>
      <c r="S399" s="4" cm="1">
        <f t="array" ref="S399">INDEX(begin!I:I,MATCH(1, (all_inputs!A399=begin!A:A)*(all_inputs!J399=begin!C:C),0))</f>
        <v>0.10519480519480519</v>
      </c>
      <c r="T399" s="4" cm="1">
        <f t="array" ref="T399">INDEX(begin!J:J,MATCH(1, (all_inputs!A399=begin!A:A)*(all_inputs!J399=begin!C:C),0))</f>
        <v>0.17896103896103899</v>
      </c>
      <c r="U399" s="4" cm="1">
        <f t="array" ref="U399">INDEX(begin!K:K,MATCH(1, (all_inputs!A399=begin!A:A)*(all_inputs!J399=begin!C:C),0))</f>
        <v>0.44740259740259741</v>
      </c>
      <c r="V399" s="4" cm="1">
        <f t="array" ref="V399">INDEX(begin!L:L,MATCH(1, (all_inputs!A399=begin!A:A)*(all_inputs!J399=begin!C:C),0))</f>
        <v>0.26844155844155843</v>
      </c>
      <c r="W399" s="21">
        <v>0.5025974025974026</v>
      </c>
      <c r="X399" s="21">
        <v>0.19896103896103898</v>
      </c>
      <c r="Y399" s="21">
        <v>0.19896103896103898</v>
      </c>
      <c r="Z399" s="21">
        <v>9.9480519480519489E-2</v>
      </c>
      <c r="AA399" t="b">
        <f>VLOOKUP(A399,ui!A$37:B$52,2,FALSE)</f>
        <v>1</v>
      </c>
    </row>
    <row r="400" spans="1:27" x14ac:dyDescent="0.25">
      <c r="A400" t="s">
        <v>20</v>
      </c>
      <c r="B400" s="40">
        <f>IF(COUNTIF(dropdown!B$2:B$12,all_inputs!A400)=1,1,IF(COUNTIF(dropdown!C$2:C$4,all_inputs!A400)=1,2,IF(COUNTIF(dropdown!D$2:D$3,all_inputs!A400)=1,3,"?")))</f>
        <v>3</v>
      </c>
      <c r="C400" t="s">
        <v>15</v>
      </c>
      <c r="D400" t="s">
        <v>466</v>
      </c>
      <c r="E400" t="s">
        <v>440</v>
      </c>
      <c r="F400">
        <f>RR!C5</f>
        <v>1</v>
      </c>
      <c r="G400" s="4">
        <f>ui!B$4</f>
        <v>2025</v>
      </c>
      <c r="H400" s="4">
        <f>ui!B$5</f>
        <v>2050</v>
      </c>
      <c r="I400" s="4" t="s">
        <v>93</v>
      </c>
      <c r="J400" s="4" t="str">
        <f>VLOOKUP(ui!B$2,dropdown!M:O,3,FALSE)</f>
        <v>LIC</v>
      </c>
      <c r="K400" s="4" cm="1">
        <f t="array" ref="K400">INDEX(begin!E:E,MATCH(1, (all_inputs!A400=begin!A:A)*(all_inputs!J400=begin!C:C),0))</f>
        <v>0.09</v>
      </c>
      <c r="L400" s="4" cm="1">
        <f t="array" ref="L400">INDEX(begin!F:F,MATCH(1, (all_inputs!A400=begin!A:A)*(all_inputs!J400=begin!C:C),0))</f>
        <v>8.1000000000000003E-2</v>
      </c>
      <c r="M400" s="4" cm="1">
        <f t="array" ref="M400">INDEX(begin!G:G,MATCH(1, (all_inputs!A400=begin!A:A)*(all_inputs!J400=begin!C:C),0))</f>
        <v>7.2900000000000006E-2</v>
      </c>
      <c r="N400" s="4">
        <f>VLOOKUP(A400,ui!A$37:C$52,3,FALSE)</f>
        <v>7.2900000000000006E-2</v>
      </c>
      <c r="O400" s="4" cm="1">
        <f t="array" ref="O400">INDEX(end!E:E,MATCH(1, (all_inputs!A400=end!A:A)*(all_inputs!J400=end!C:C),0))</f>
        <v>0.8</v>
      </c>
      <c r="P400" s="4" cm="1">
        <f t="array" ref="P400">INDEX(end!F:F,MATCH(1, (all_inputs!A400=end!A:A)*(all_inputs!J400=end!C:C),0))</f>
        <v>0.72000000000000008</v>
      </c>
      <c r="Q400" s="4" cm="1">
        <f t="array" ref="Q400">INDEX(end!G:G,MATCH(1, (all_inputs!A400=end!A:A)*(all_inputs!J400=end!C:C),0))</f>
        <v>0.64800000000000013</v>
      </c>
      <c r="R400" s="4">
        <f>VLOOKUP(A400,ui!A$37:G$52,4,FALSE)</f>
        <v>6.5610000000000002E-2</v>
      </c>
      <c r="S400" s="4" cm="1">
        <f t="array" ref="S400">INDEX(begin!I:I,MATCH(1, (all_inputs!A400=begin!A:A)*(all_inputs!J400=begin!C:C),0))</f>
        <v>0.10519480519480519</v>
      </c>
      <c r="T400" s="4" cm="1">
        <f t="array" ref="T400">INDEX(begin!J:J,MATCH(1, (all_inputs!A400=begin!A:A)*(all_inputs!J400=begin!C:C),0))</f>
        <v>0.17896103896103899</v>
      </c>
      <c r="U400" s="4" cm="1">
        <f t="array" ref="U400">INDEX(begin!K:K,MATCH(1, (all_inputs!A400=begin!A:A)*(all_inputs!J400=begin!C:C),0))</f>
        <v>0.44740259740259741</v>
      </c>
      <c r="V400" s="4" cm="1">
        <f t="array" ref="V400">INDEX(begin!L:L,MATCH(1, (all_inputs!A400=begin!A:A)*(all_inputs!J400=begin!C:C),0))</f>
        <v>0.26844155844155843</v>
      </c>
      <c r="W400" s="21">
        <v>0.5025974025974026</v>
      </c>
      <c r="X400" s="21">
        <v>0.19896103896103898</v>
      </c>
      <c r="Y400" s="21">
        <v>0.19896103896103898</v>
      </c>
      <c r="Z400" s="21">
        <v>9.9480519480519489E-2</v>
      </c>
      <c r="AA400" t="b">
        <f>VLOOKUP(A400,ui!A$37:B$52,2,FALSE)</f>
        <v>1</v>
      </c>
    </row>
    <row r="401" spans="1:27" x14ac:dyDescent="0.25">
      <c r="A401" t="s">
        <v>20</v>
      </c>
      <c r="B401" s="40">
        <f>IF(COUNTIF(dropdown!B$2:B$12,all_inputs!A401)=1,1,IF(COUNTIF(dropdown!C$2:C$4,all_inputs!A401)=1,2,IF(COUNTIF(dropdown!D$2:D$3,all_inputs!A401)=1,3,"?")))</f>
        <v>3</v>
      </c>
      <c r="C401" t="s">
        <v>16</v>
      </c>
      <c r="D401" t="s">
        <v>467</v>
      </c>
      <c r="E401" t="s">
        <v>440</v>
      </c>
      <c r="F401">
        <f>RR!D4</f>
        <v>0.05</v>
      </c>
      <c r="G401" s="4">
        <f>ui!B$4</f>
        <v>2025</v>
      </c>
      <c r="H401" s="4">
        <f>ui!B$5</f>
        <v>2050</v>
      </c>
      <c r="I401" s="4" t="s">
        <v>93</v>
      </c>
      <c r="J401" s="4" t="str">
        <f>VLOOKUP(ui!B$2,dropdown!M:O,3,FALSE)</f>
        <v>LIC</v>
      </c>
      <c r="K401" s="4" cm="1">
        <f t="array" ref="K401">INDEX(begin!E:E,MATCH(1, (all_inputs!A401=begin!A:A)*(all_inputs!J401=begin!C:C),0))</f>
        <v>0.09</v>
      </c>
      <c r="L401" s="4" cm="1">
        <f t="array" ref="L401">INDEX(begin!F:F,MATCH(1, (all_inputs!A401=begin!A:A)*(all_inputs!J401=begin!C:C),0))</f>
        <v>8.1000000000000003E-2</v>
      </c>
      <c r="M401" s="4" cm="1">
        <f t="array" ref="M401">INDEX(begin!G:G,MATCH(1, (all_inputs!A401=begin!A:A)*(all_inputs!J401=begin!C:C),0))</f>
        <v>7.2900000000000006E-2</v>
      </c>
      <c r="N401" s="4">
        <f>VLOOKUP(A401,ui!A$37:C$52,3,FALSE)</f>
        <v>7.2900000000000006E-2</v>
      </c>
      <c r="O401" s="4" cm="1">
        <f t="array" ref="O401">INDEX(end!E:E,MATCH(1, (all_inputs!A401=end!A:A)*(all_inputs!J401=end!C:C),0))</f>
        <v>0.8</v>
      </c>
      <c r="P401" s="4" cm="1">
        <f t="array" ref="P401">INDEX(end!F:F,MATCH(1, (all_inputs!A401=end!A:A)*(all_inputs!J401=end!C:C),0))</f>
        <v>0.72000000000000008</v>
      </c>
      <c r="Q401" s="4" cm="1">
        <f t="array" ref="Q401">INDEX(end!G:G,MATCH(1, (all_inputs!A401=end!A:A)*(all_inputs!J401=end!C:C),0))</f>
        <v>0.64800000000000013</v>
      </c>
      <c r="R401" s="4">
        <f>VLOOKUP(A401,ui!A$37:G$52,4,FALSE)</f>
        <v>6.5610000000000002E-2</v>
      </c>
      <c r="S401" s="4" cm="1">
        <f t="array" ref="S401">INDEX(begin!I:I,MATCH(1, (all_inputs!A401=begin!A:A)*(all_inputs!J401=begin!C:C),0))</f>
        <v>0.10519480519480519</v>
      </c>
      <c r="T401" s="4" cm="1">
        <f t="array" ref="T401">INDEX(begin!J:J,MATCH(1, (all_inputs!A401=begin!A:A)*(all_inputs!J401=begin!C:C),0))</f>
        <v>0.17896103896103899</v>
      </c>
      <c r="U401" s="4" cm="1">
        <f t="array" ref="U401">INDEX(begin!K:K,MATCH(1, (all_inputs!A401=begin!A:A)*(all_inputs!J401=begin!C:C),0))</f>
        <v>0.44740259740259741</v>
      </c>
      <c r="V401" s="4" cm="1">
        <f t="array" ref="V401">INDEX(begin!L:L,MATCH(1, (all_inputs!A401=begin!A:A)*(all_inputs!J401=begin!C:C),0))</f>
        <v>0.26844155844155843</v>
      </c>
      <c r="W401" s="21">
        <v>0.5025974025974026</v>
      </c>
      <c r="X401" s="21">
        <v>0.19896103896103898</v>
      </c>
      <c r="Y401" s="21">
        <v>0.19896103896103898</v>
      </c>
      <c r="Z401" s="21">
        <v>9.9480519480519489E-2</v>
      </c>
      <c r="AA401" t="b">
        <f>VLOOKUP(A401,ui!A$37:B$52,2,FALSE)</f>
        <v>1</v>
      </c>
    </row>
    <row r="402" spans="1:27" x14ac:dyDescent="0.25">
      <c r="A402" t="s">
        <v>20</v>
      </c>
      <c r="B402" s="40">
        <f>IF(COUNTIF(dropdown!B$2:B$12,all_inputs!A402)=1,1,IF(COUNTIF(dropdown!C$2:C$4,all_inputs!A402)=1,2,IF(COUNTIF(dropdown!D$2:D$3,all_inputs!A402)=1,3,"?")))</f>
        <v>3</v>
      </c>
      <c r="C402" t="s">
        <v>17</v>
      </c>
      <c r="D402" t="s">
        <v>468</v>
      </c>
      <c r="E402" t="s">
        <v>440</v>
      </c>
      <c r="F402">
        <f>RR!E4</f>
        <v>0.5</v>
      </c>
      <c r="G402" s="4">
        <f>ui!B$4</f>
        <v>2025</v>
      </c>
      <c r="H402" s="4">
        <f>ui!B$5</f>
        <v>2050</v>
      </c>
      <c r="I402" s="4" t="s">
        <v>93</v>
      </c>
      <c r="J402" s="4" t="str">
        <f>VLOOKUP(ui!B$2,dropdown!M:O,3,FALSE)</f>
        <v>LIC</v>
      </c>
      <c r="K402" s="4" cm="1">
        <f t="array" ref="K402">INDEX(begin!E:E,MATCH(1, (all_inputs!A402=begin!A:A)*(all_inputs!J402=begin!C:C),0))</f>
        <v>0.09</v>
      </c>
      <c r="L402" s="4" cm="1">
        <f t="array" ref="L402">INDEX(begin!F:F,MATCH(1, (all_inputs!A402=begin!A:A)*(all_inputs!J402=begin!C:C),0))</f>
        <v>8.1000000000000003E-2</v>
      </c>
      <c r="M402" s="4" cm="1">
        <f t="array" ref="M402">INDEX(begin!G:G,MATCH(1, (all_inputs!A402=begin!A:A)*(all_inputs!J402=begin!C:C),0))</f>
        <v>7.2900000000000006E-2</v>
      </c>
      <c r="N402" s="4">
        <f>VLOOKUP(A402,ui!A$37:C$52,3,FALSE)</f>
        <v>7.2900000000000006E-2</v>
      </c>
      <c r="O402" s="4" cm="1">
        <f t="array" ref="O402">INDEX(end!E:E,MATCH(1, (all_inputs!A402=end!A:A)*(all_inputs!J402=end!C:C),0))</f>
        <v>0.8</v>
      </c>
      <c r="P402" s="4" cm="1">
        <f t="array" ref="P402">INDEX(end!F:F,MATCH(1, (all_inputs!A402=end!A:A)*(all_inputs!J402=end!C:C),0))</f>
        <v>0.72000000000000008</v>
      </c>
      <c r="Q402" s="4" cm="1">
        <f t="array" ref="Q402">INDEX(end!G:G,MATCH(1, (all_inputs!A402=end!A:A)*(all_inputs!J402=end!C:C),0))</f>
        <v>0.64800000000000013</v>
      </c>
      <c r="R402" s="4">
        <f>VLOOKUP(A402,ui!A$37:G$52,4,FALSE)</f>
        <v>6.5610000000000002E-2</v>
      </c>
      <c r="S402" s="4" cm="1">
        <f t="array" ref="S402">INDEX(begin!I:I,MATCH(1, (all_inputs!A402=begin!A:A)*(all_inputs!J402=begin!C:C),0))</f>
        <v>0.10519480519480519</v>
      </c>
      <c r="T402" s="4" cm="1">
        <f t="array" ref="T402">INDEX(begin!J:J,MATCH(1, (all_inputs!A402=begin!A:A)*(all_inputs!J402=begin!C:C),0))</f>
        <v>0.17896103896103899</v>
      </c>
      <c r="U402" s="4" cm="1">
        <f t="array" ref="U402">INDEX(begin!K:K,MATCH(1, (all_inputs!A402=begin!A:A)*(all_inputs!J402=begin!C:C),0))</f>
        <v>0.44740259740259741</v>
      </c>
      <c r="V402" s="4" cm="1">
        <f t="array" ref="V402">INDEX(begin!L:L,MATCH(1, (all_inputs!A402=begin!A:A)*(all_inputs!J402=begin!C:C),0))</f>
        <v>0.26844155844155843</v>
      </c>
      <c r="W402" s="21">
        <v>0.5025974025974026</v>
      </c>
      <c r="X402" s="21">
        <v>0.19896103896103898</v>
      </c>
      <c r="Y402" s="21">
        <v>0.19896103896103898</v>
      </c>
      <c r="Z402" s="21">
        <v>9.9480519480519489E-2</v>
      </c>
      <c r="AA402" t="b">
        <f>VLOOKUP(A402,ui!A$37:B$52,2,FALSE)</f>
        <v>1</v>
      </c>
    </row>
    <row r="403" spans="1:27" x14ac:dyDescent="0.25">
      <c r="A403" s="2" t="s">
        <v>20</v>
      </c>
      <c r="B403" s="41">
        <f>IF(COUNTIF(dropdown!B$2:B$12,all_inputs!A403)=1,1,IF(COUNTIF(dropdown!C$2:C$4,all_inputs!A403)=1,2,IF(COUNTIF(dropdown!D$2:D$3,all_inputs!A403)=1,3,"?")))</f>
        <v>3</v>
      </c>
      <c r="C403" s="2" t="s">
        <v>18</v>
      </c>
      <c r="D403" s="2" t="s">
        <v>469</v>
      </c>
      <c r="E403" s="2" t="s">
        <v>440</v>
      </c>
      <c r="F403" s="2">
        <f>RR!F4</f>
        <v>0.9</v>
      </c>
      <c r="G403" s="5">
        <f>ui!B$4</f>
        <v>2025</v>
      </c>
      <c r="H403" s="5">
        <f>ui!B$5</f>
        <v>2050</v>
      </c>
      <c r="I403" s="5" t="s">
        <v>93</v>
      </c>
      <c r="J403" s="5" t="str">
        <f>VLOOKUP(ui!B$2,dropdown!M:O,3,FALSE)</f>
        <v>LIC</v>
      </c>
      <c r="K403" s="5" cm="1">
        <f t="array" ref="K403">INDEX(begin!E:E,MATCH(1, (all_inputs!A403=begin!A:A)*(all_inputs!J403=begin!C:C),0))</f>
        <v>0.09</v>
      </c>
      <c r="L403" s="5" cm="1">
        <f t="array" ref="L403">INDEX(begin!F:F,MATCH(1, (all_inputs!A403=begin!A:A)*(all_inputs!J403=begin!C:C),0))</f>
        <v>8.1000000000000003E-2</v>
      </c>
      <c r="M403" s="5" cm="1">
        <f t="array" ref="M403">INDEX(begin!G:G,MATCH(1, (all_inputs!A403=begin!A:A)*(all_inputs!J403=begin!C:C),0))</f>
        <v>7.2900000000000006E-2</v>
      </c>
      <c r="N403" s="5">
        <f>VLOOKUP(A403,ui!A$37:C$52,3,FALSE)</f>
        <v>7.2900000000000006E-2</v>
      </c>
      <c r="O403" s="5" cm="1">
        <f t="array" ref="O403">INDEX(end!E:E,MATCH(1, (all_inputs!A403=end!A:A)*(all_inputs!J403=end!C:C),0))</f>
        <v>0.8</v>
      </c>
      <c r="P403" s="5" cm="1">
        <f t="array" ref="P403">INDEX(end!F:F,MATCH(1, (all_inputs!A403=end!A:A)*(all_inputs!J403=end!C:C),0))</f>
        <v>0.72000000000000008</v>
      </c>
      <c r="Q403" s="5" cm="1">
        <f t="array" ref="Q403">INDEX(end!G:G,MATCH(1, (all_inputs!A403=end!A:A)*(all_inputs!J403=end!C:C),0))</f>
        <v>0.64800000000000013</v>
      </c>
      <c r="R403" s="5">
        <f>VLOOKUP(A403,ui!A$37:G$52,4,FALSE)</f>
        <v>6.5610000000000002E-2</v>
      </c>
      <c r="S403" s="5" cm="1">
        <f t="array" ref="S403">INDEX(begin!I:I,MATCH(1, (all_inputs!A403=begin!A:A)*(all_inputs!J403=begin!C:C),0))</f>
        <v>0.10519480519480519</v>
      </c>
      <c r="T403" s="5" cm="1">
        <f t="array" ref="T403">INDEX(begin!J:J,MATCH(1, (all_inputs!A403=begin!A:A)*(all_inputs!J403=begin!C:C),0))</f>
        <v>0.17896103896103899</v>
      </c>
      <c r="U403" s="5" cm="1">
        <f t="array" ref="U403">INDEX(begin!K:K,MATCH(1, (all_inputs!A403=begin!A:A)*(all_inputs!J403=begin!C:C),0))</f>
        <v>0.44740259740259741</v>
      </c>
      <c r="V403" s="5" cm="1">
        <f t="array" ref="V403">INDEX(begin!L:L,MATCH(1, (all_inputs!A403=begin!A:A)*(all_inputs!J403=begin!C:C),0))</f>
        <v>0.26844155844155843</v>
      </c>
      <c r="W403" s="22">
        <v>0.5025974025974026</v>
      </c>
      <c r="X403" s="22">
        <v>0.19896103896103898</v>
      </c>
      <c r="Y403" s="22">
        <v>0.19896103896103898</v>
      </c>
      <c r="Z403" s="22">
        <v>9.9480519480519489E-2</v>
      </c>
      <c r="AA403" s="2" t="b">
        <f>VLOOKUP(A403,ui!A$37:B$52,2,FALSE)</f>
        <v>1</v>
      </c>
    </row>
    <row r="404" spans="1:27" x14ac:dyDescent="0.25">
      <c r="A404" t="s">
        <v>21</v>
      </c>
      <c r="B404" s="40">
        <f>IF(COUNTIF(dropdown!B$2:B$12,all_inputs!A404)=1,1,IF(COUNTIF(dropdown!C$2:C$4,all_inputs!A404)=1,2,IF(COUNTIF(dropdown!D$2:D$3,all_inputs!A404)=1,3,"?")))</f>
        <v>3</v>
      </c>
      <c r="C404" t="s">
        <v>13</v>
      </c>
      <c r="D404" t="s">
        <v>472</v>
      </c>
      <c r="E404" t="s">
        <v>440</v>
      </c>
      <c r="F404">
        <f>RR!B5</f>
        <v>0.2</v>
      </c>
      <c r="G404" s="4">
        <f>ui!B$4</f>
        <v>2025</v>
      </c>
      <c r="H404" s="4">
        <f>ui!B$5</f>
        <v>2050</v>
      </c>
      <c r="I404" s="4" t="s">
        <v>93</v>
      </c>
      <c r="J404" s="4" t="str">
        <f>VLOOKUP(ui!B$2,dropdown!M:O,3,FALSE)</f>
        <v>LIC</v>
      </c>
      <c r="K404" s="4" cm="1">
        <f t="array" ref="K404">INDEX(begin!E:E,MATCH(1, (all_inputs!A404=begin!A:A)*(all_inputs!J404=begin!C:C),0))</f>
        <v>0.01</v>
      </c>
      <c r="L404" s="4" cm="1">
        <f t="array" ref="L404">INDEX(begin!F:F,MATCH(1, (all_inputs!A404=begin!A:A)*(all_inputs!J404=begin!C:C),0))</f>
        <v>9.0000000000000011E-3</v>
      </c>
      <c r="M404" s="4" cm="1">
        <f t="array" ref="M404">INDEX(begin!G:G,MATCH(1, (all_inputs!A404=begin!A:A)*(all_inputs!J404=begin!C:C),0))</f>
        <v>8.1000000000000013E-3</v>
      </c>
      <c r="N404" s="4">
        <f>VLOOKUP(A404,ui!A$37:C$52,3,FALSE)</f>
        <v>8.1000000000000013E-3</v>
      </c>
      <c r="O404" s="4" cm="1">
        <f t="array" ref="O404">INDEX(end!E:E,MATCH(1, (all_inputs!A404=end!A:A)*(all_inputs!J404=end!C:C),0))</f>
        <v>0.8</v>
      </c>
      <c r="P404" s="4" cm="1">
        <f t="array" ref="P404">INDEX(end!F:F,MATCH(1, (all_inputs!A404=end!A:A)*(all_inputs!J404=end!C:C),0))</f>
        <v>0.72000000000000008</v>
      </c>
      <c r="Q404" s="4" cm="1">
        <f t="array" ref="Q404">INDEX(end!G:G,MATCH(1, (all_inputs!A404=end!A:A)*(all_inputs!J404=end!C:C),0))</f>
        <v>0.64800000000000013</v>
      </c>
      <c r="R404" s="4">
        <f>VLOOKUP(A404,ui!A$37:G$52,4,FALSE)</f>
        <v>7.2900000000000013E-3</v>
      </c>
      <c r="S404" s="4" cm="1">
        <f t="array" ref="S404">INDEX(begin!I:I,MATCH(1, (all_inputs!A404=begin!A:A)*(all_inputs!J404=begin!C:C),0))</f>
        <v>1.1574074074074076E-4</v>
      </c>
      <c r="T404" s="4" cm="1">
        <f t="array" ref="T404">INDEX(begin!J:J,MATCH(1, (all_inputs!A404=begin!A:A)*(all_inputs!J404=begin!C:C),0))</f>
        <v>0.19997685185185188</v>
      </c>
      <c r="U404" s="4" cm="1">
        <f t="array" ref="U404">INDEX(begin!K:K,MATCH(1, (all_inputs!A404=begin!A:A)*(all_inputs!J404=begin!C:C),0))</f>
        <v>0.54993634259259261</v>
      </c>
      <c r="V404" s="4" cm="1">
        <f t="array" ref="V404">INDEX(begin!L:L,MATCH(1, (all_inputs!A404=begin!A:A)*(all_inputs!J404=begin!C:C),0))</f>
        <v>0.24997106481481482</v>
      </c>
      <c r="W404" s="21">
        <v>8.3333333333333343E-2</v>
      </c>
      <c r="X404" s="21">
        <v>0.27499999999999997</v>
      </c>
      <c r="Y404" s="21">
        <v>0.41249999999999998</v>
      </c>
      <c r="Z404" s="21">
        <v>0.22916666666666666</v>
      </c>
      <c r="AA404" t="b">
        <f>VLOOKUP(A404,ui!A$37:B$52,2,FALSE)</f>
        <v>0</v>
      </c>
    </row>
    <row r="405" spans="1:27" x14ac:dyDescent="0.25">
      <c r="A405" t="s">
        <v>21</v>
      </c>
      <c r="B405" s="40">
        <f>IF(COUNTIF(dropdown!B$2:B$12,all_inputs!A405)=1,1,IF(COUNTIF(dropdown!C$2:C$4,all_inputs!A405)=1,2,IF(COUNTIF(dropdown!D$2:D$3,all_inputs!A405)=1,3,"?")))</f>
        <v>3</v>
      </c>
      <c r="C405" t="s">
        <v>14</v>
      </c>
      <c r="D405" t="s">
        <v>466</v>
      </c>
      <c r="E405" t="s">
        <v>440</v>
      </c>
      <c r="F405" s="4">
        <v>1</v>
      </c>
      <c r="G405" s="4">
        <f>ui!B$4</f>
        <v>2025</v>
      </c>
      <c r="H405" s="4">
        <f>ui!B$5</f>
        <v>2050</v>
      </c>
      <c r="I405" s="4" t="s">
        <v>93</v>
      </c>
      <c r="J405" s="4" t="str">
        <f>VLOOKUP(ui!B$2,dropdown!M:O,3,FALSE)</f>
        <v>LIC</v>
      </c>
      <c r="K405" s="4" cm="1">
        <f t="array" ref="K405">INDEX(begin!E:E,MATCH(1, (all_inputs!A405=begin!A:A)*(all_inputs!J405=begin!C:C),0))</f>
        <v>0.01</v>
      </c>
      <c r="L405" s="4" cm="1">
        <f t="array" ref="L405">INDEX(begin!F:F,MATCH(1, (all_inputs!A405=begin!A:A)*(all_inputs!J405=begin!C:C),0))</f>
        <v>9.0000000000000011E-3</v>
      </c>
      <c r="M405" s="4" cm="1">
        <f t="array" ref="M405">INDEX(begin!G:G,MATCH(1, (all_inputs!A405=begin!A:A)*(all_inputs!J405=begin!C:C),0))</f>
        <v>8.1000000000000013E-3</v>
      </c>
      <c r="N405" s="4">
        <f>VLOOKUP(A405,ui!A$37:C$52,3,FALSE)</f>
        <v>8.1000000000000013E-3</v>
      </c>
      <c r="O405" s="4" cm="1">
        <f t="array" ref="O405">INDEX(end!E:E,MATCH(1, (all_inputs!A405=end!A:A)*(all_inputs!J405=end!C:C),0))</f>
        <v>0.8</v>
      </c>
      <c r="P405" s="4" cm="1">
        <f t="array" ref="P405">INDEX(end!F:F,MATCH(1, (all_inputs!A405=end!A:A)*(all_inputs!J405=end!C:C),0))</f>
        <v>0.72000000000000008</v>
      </c>
      <c r="Q405" s="4" cm="1">
        <f t="array" ref="Q405">INDEX(end!G:G,MATCH(1, (all_inputs!A405=end!A:A)*(all_inputs!J405=end!C:C),0))</f>
        <v>0.64800000000000013</v>
      </c>
      <c r="R405" s="4">
        <f>VLOOKUP(A405,ui!A$37:G$52,4,FALSE)</f>
        <v>7.2900000000000013E-3</v>
      </c>
      <c r="S405" s="4" cm="1">
        <f t="array" ref="S405">INDEX(begin!I:I,MATCH(1, (all_inputs!A405=begin!A:A)*(all_inputs!J405=begin!C:C),0))</f>
        <v>1.1574074074074076E-4</v>
      </c>
      <c r="T405" s="4" cm="1">
        <f t="array" ref="T405">INDEX(begin!J:J,MATCH(1, (all_inputs!A405=begin!A:A)*(all_inputs!J405=begin!C:C),0))</f>
        <v>0.19997685185185188</v>
      </c>
      <c r="U405" s="4" cm="1">
        <f t="array" ref="U405">INDEX(begin!K:K,MATCH(1, (all_inputs!A405=begin!A:A)*(all_inputs!J405=begin!C:C),0))</f>
        <v>0.54993634259259261</v>
      </c>
      <c r="V405" s="4" cm="1">
        <f t="array" ref="V405">INDEX(begin!L:L,MATCH(1, (all_inputs!A405=begin!A:A)*(all_inputs!J405=begin!C:C),0))</f>
        <v>0.24997106481481482</v>
      </c>
      <c r="W405" s="21">
        <v>8.3333333333333343E-2</v>
      </c>
      <c r="X405" s="21">
        <v>0.27499999999999997</v>
      </c>
      <c r="Y405" s="21">
        <v>0.41249999999999998</v>
      </c>
      <c r="Z405" s="21">
        <v>0.22916666666666666</v>
      </c>
      <c r="AA405" t="b">
        <f>VLOOKUP(A405,ui!A$37:B$52,2,FALSE)</f>
        <v>0</v>
      </c>
    </row>
    <row r="406" spans="1:27" x14ac:dyDescent="0.25">
      <c r="A406" t="s">
        <v>21</v>
      </c>
      <c r="B406" s="40">
        <f>IF(COUNTIF(dropdown!B$2:B$12,all_inputs!A406)=1,1,IF(COUNTIF(dropdown!C$2:C$4,all_inputs!A406)=1,2,IF(COUNTIF(dropdown!D$2:D$3,all_inputs!A406)=1,3,"?")))</f>
        <v>3</v>
      </c>
      <c r="C406" t="s">
        <v>15</v>
      </c>
      <c r="D406" t="s">
        <v>466</v>
      </c>
      <c r="E406" t="s">
        <v>440</v>
      </c>
      <c r="F406">
        <f>RR!C5</f>
        <v>1</v>
      </c>
      <c r="G406" s="4">
        <f>ui!B$4</f>
        <v>2025</v>
      </c>
      <c r="H406" s="4">
        <f>ui!B$5</f>
        <v>2050</v>
      </c>
      <c r="I406" s="4" t="s">
        <v>93</v>
      </c>
      <c r="J406" s="4" t="str">
        <f>VLOOKUP(ui!B$2,dropdown!M:O,3,FALSE)</f>
        <v>LIC</v>
      </c>
      <c r="K406" s="4" cm="1">
        <f t="array" ref="K406">INDEX(begin!E:E,MATCH(1, (all_inputs!A406=begin!A:A)*(all_inputs!J406=begin!C:C),0))</f>
        <v>0.01</v>
      </c>
      <c r="L406" s="4" cm="1">
        <f t="array" ref="L406">INDEX(begin!F:F,MATCH(1, (all_inputs!A406=begin!A:A)*(all_inputs!J406=begin!C:C),0))</f>
        <v>9.0000000000000011E-3</v>
      </c>
      <c r="M406" s="4" cm="1">
        <f t="array" ref="M406">INDEX(begin!G:G,MATCH(1, (all_inputs!A406=begin!A:A)*(all_inputs!J406=begin!C:C),0))</f>
        <v>8.1000000000000013E-3</v>
      </c>
      <c r="N406" s="4">
        <f>VLOOKUP(A406,ui!A$37:C$52,3,FALSE)</f>
        <v>8.1000000000000013E-3</v>
      </c>
      <c r="O406" s="4" cm="1">
        <f t="array" ref="O406">INDEX(end!E:E,MATCH(1, (all_inputs!A406=end!A:A)*(all_inputs!J406=end!C:C),0))</f>
        <v>0.8</v>
      </c>
      <c r="P406" s="4" cm="1">
        <f t="array" ref="P406">INDEX(end!F:F,MATCH(1, (all_inputs!A406=end!A:A)*(all_inputs!J406=end!C:C),0))</f>
        <v>0.72000000000000008</v>
      </c>
      <c r="Q406" s="4" cm="1">
        <f t="array" ref="Q406">INDEX(end!G:G,MATCH(1, (all_inputs!A406=end!A:A)*(all_inputs!J406=end!C:C),0))</f>
        <v>0.64800000000000013</v>
      </c>
      <c r="R406" s="4">
        <f>VLOOKUP(A406,ui!A$37:G$52,4,FALSE)</f>
        <v>7.2900000000000013E-3</v>
      </c>
      <c r="S406" s="4" cm="1">
        <f t="array" ref="S406">INDEX(begin!I:I,MATCH(1, (all_inputs!A406=begin!A:A)*(all_inputs!J406=begin!C:C),0))</f>
        <v>1.1574074074074076E-4</v>
      </c>
      <c r="T406" s="4" cm="1">
        <f t="array" ref="T406">INDEX(begin!J:J,MATCH(1, (all_inputs!A406=begin!A:A)*(all_inputs!J406=begin!C:C),0))</f>
        <v>0.19997685185185188</v>
      </c>
      <c r="U406" s="4" cm="1">
        <f t="array" ref="U406">INDEX(begin!K:K,MATCH(1, (all_inputs!A406=begin!A:A)*(all_inputs!J406=begin!C:C),0))</f>
        <v>0.54993634259259261</v>
      </c>
      <c r="V406" s="4" cm="1">
        <f t="array" ref="V406">INDEX(begin!L:L,MATCH(1, (all_inputs!A406=begin!A:A)*(all_inputs!J406=begin!C:C),0))</f>
        <v>0.24997106481481482</v>
      </c>
      <c r="W406" s="21">
        <v>8.3333333333333343E-2</v>
      </c>
      <c r="X406" s="21">
        <v>0.27499999999999997</v>
      </c>
      <c r="Y406" s="21">
        <v>0.41249999999999998</v>
      </c>
      <c r="Z406" s="21">
        <v>0.22916666666666666</v>
      </c>
      <c r="AA406" t="b">
        <f>VLOOKUP(A406,ui!A$37:B$52,2,FALSE)</f>
        <v>0</v>
      </c>
    </row>
    <row r="407" spans="1:27" x14ac:dyDescent="0.25">
      <c r="A407" t="s">
        <v>21</v>
      </c>
      <c r="B407" s="40">
        <f>IF(COUNTIF(dropdown!B$2:B$12,all_inputs!A407)=1,1,IF(COUNTIF(dropdown!C$2:C$4,all_inputs!A407)=1,2,IF(COUNTIF(dropdown!D$2:D$3,all_inputs!A407)=1,3,"?")))</f>
        <v>3</v>
      </c>
      <c r="C407" t="s">
        <v>16</v>
      </c>
      <c r="D407" t="s">
        <v>467</v>
      </c>
      <c r="E407" t="s">
        <v>440</v>
      </c>
      <c r="F407">
        <f>RR!D5</f>
        <v>0.2</v>
      </c>
      <c r="G407" s="4">
        <f>ui!B$4</f>
        <v>2025</v>
      </c>
      <c r="H407" s="4">
        <f>ui!B$5</f>
        <v>2050</v>
      </c>
      <c r="I407" s="4" t="s">
        <v>93</v>
      </c>
      <c r="J407" s="4" t="str">
        <f>VLOOKUP(ui!B$2,dropdown!M:O,3,FALSE)</f>
        <v>LIC</v>
      </c>
      <c r="K407" s="4" cm="1">
        <f t="array" ref="K407">INDEX(begin!E:E,MATCH(1, (all_inputs!A407=begin!A:A)*(all_inputs!J407=begin!C:C),0))</f>
        <v>0.01</v>
      </c>
      <c r="L407" s="4" cm="1">
        <f t="array" ref="L407">INDEX(begin!F:F,MATCH(1, (all_inputs!A407=begin!A:A)*(all_inputs!J407=begin!C:C),0))</f>
        <v>9.0000000000000011E-3</v>
      </c>
      <c r="M407" s="4" cm="1">
        <f t="array" ref="M407">INDEX(begin!G:G,MATCH(1, (all_inputs!A407=begin!A:A)*(all_inputs!J407=begin!C:C),0))</f>
        <v>8.1000000000000013E-3</v>
      </c>
      <c r="N407" s="4">
        <f>VLOOKUP(A407,ui!A$37:C$52,3,FALSE)</f>
        <v>8.1000000000000013E-3</v>
      </c>
      <c r="O407" s="4" cm="1">
        <f t="array" ref="O407">INDEX(end!E:E,MATCH(1, (all_inputs!A407=end!A:A)*(all_inputs!J407=end!C:C),0))</f>
        <v>0.8</v>
      </c>
      <c r="P407" s="4" cm="1">
        <f t="array" ref="P407">INDEX(end!F:F,MATCH(1, (all_inputs!A407=end!A:A)*(all_inputs!J407=end!C:C),0))</f>
        <v>0.72000000000000008</v>
      </c>
      <c r="Q407" s="4" cm="1">
        <f t="array" ref="Q407">INDEX(end!G:G,MATCH(1, (all_inputs!A407=end!A:A)*(all_inputs!J407=end!C:C),0))</f>
        <v>0.64800000000000013</v>
      </c>
      <c r="R407" s="4">
        <f>VLOOKUP(A407,ui!A$37:G$52,4,FALSE)</f>
        <v>7.2900000000000013E-3</v>
      </c>
      <c r="S407" s="4" cm="1">
        <f t="array" ref="S407">INDEX(begin!I:I,MATCH(1, (all_inputs!A407=begin!A:A)*(all_inputs!J407=begin!C:C),0))</f>
        <v>1.1574074074074076E-4</v>
      </c>
      <c r="T407" s="4" cm="1">
        <f t="array" ref="T407">INDEX(begin!J:J,MATCH(1, (all_inputs!A407=begin!A:A)*(all_inputs!J407=begin!C:C),0))</f>
        <v>0.19997685185185188</v>
      </c>
      <c r="U407" s="4" cm="1">
        <f t="array" ref="U407">INDEX(begin!K:K,MATCH(1, (all_inputs!A407=begin!A:A)*(all_inputs!J407=begin!C:C),0))</f>
        <v>0.54993634259259261</v>
      </c>
      <c r="V407" s="4" cm="1">
        <f t="array" ref="V407">INDEX(begin!L:L,MATCH(1, (all_inputs!A407=begin!A:A)*(all_inputs!J407=begin!C:C),0))</f>
        <v>0.24997106481481482</v>
      </c>
      <c r="W407" s="21">
        <v>8.3333333333333343E-2</v>
      </c>
      <c r="X407" s="21">
        <v>0.27499999999999997</v>
      </c>
      <c r="Y407" s="21">
        <v>0.41249999999999998</v>
      </c>
      <c r="Z407" s="21">
        <v>0.22916666666666666</v>
      </c>
      <c r="AA407" t="b">
        <f>VLOOKUP(A407,ui!A$37:B$52,2,FALSE)</f>
        <v>0</v>
      </c>
    </row>
    <row r="408" spans="1:27" x14ac:dyDescent="0.25">
      <c r="A408" t="s">
        <v>21</v>
      </c>
      <c r="B408" s="40">
        <f>IF(COUNTIF(dropdown!B$2:B$12,all_inputs!A408)=1,1,IF(COUNTIF(dropdown!C$2:C$4,all_inputs!A408)=1,2,IF(COUNTIF(dropdown!D$2:D$3,all_inputs!A408)=1,3,"?")))</f>
        <v>3</v>
      </c>
      <c r="C408" t="s">
        <v>17</v>
      </c>
      <c r="D408" t="s">
        <v>468</v>
      </c>
      <c r="E408" t="s">
        <v>440</v>
      </c>
      <c r="F408">
        <f>RR!E5</f>
        <v>0.5</v>
      </c>
      <c r="G408" s="4">
        <f>ui!B$4</f>
        <v>2025</v>
      </c>
      <c r="H408" s="4">
        <f>ui!B$5</f>
        <v>2050</v>
      </c>
      <c r="I408" s="4" t="s">
        <v>93</v>
      </c>
      <c r="J408" s="4" t="str">
        <f>VLOOKUP(ui!B$2,dropdown!M:O,3,FALSE)</f>
        <v>LIC</v>
      </c>
      <c r="K408" s="4" cm="1">
        <f t="array" ref="K408">INDEX(begin!E:E,MATCH(1, (all_inputs!A408=begin!A:A)*(all_inputs!J408=begin!C:C),0))</f>
        <v>0.01</v>
      </c>
      <c r="L408" s="4" cm="1">
        <f t="array" ref="L408">INDEX(begin!F:F,MATCH(1, (all_inputs!A408=begin!A:A)*(all_inputs!J408=begin!C:C),0))</f>
        <v>9.0000000000000011E-3</v>
      </c>
      <c r="M408" s="4" cm="1">
        <f t="array" ref="M408">INDEX(begin!G:G,MATCH(1, (all_inputs!A408=begin!A:A)*(all_inputs!J408=begin!C:C),0))</f>
        <v>8.1000000000000013E-3</v>
      </c>
      <c r="N408" s="4">
        <f>VLOOKUP(A408,ui!A$37:C$52,3,FALSE)</f>
        <v>8.1000000000000013E-3</v>
      </c>
      <c r="O408" s="4" cm="1">
        <f t="array" ref="O408">INDEX(end!E:E,MATCH(1, (all_inputs!A408=end!A:A)*(all_inputs!J408=end!C:C),0))</f>
        <v>0.8</v>
      </c>
      <c r="P408" s="4" cm="1">
        <f t="array" ref="P408">INDEX(end!F:F,MATCH(1, (all_inputs!A408=end!A:A)*(all_inputs!J408=end!C:C),0))</f>
        <v>0.72000000000000008</v>
      </c>
      <c r="Q408" s="4" cm="1">
        <f t="array" ref="Q408">INDEX(end!G:G,MATCH(1, (all_inputs!A408=end!A:A)*(all_inputs!J408=end!C:C),0))</f>
        <v>0.64800000000000013</v>
      </c>
      <c r="R408" s="4">
        <f>VLOOKUP(A408,ui!A$37:G$52,4,FALSE)</f>
        <v>7.2900000000000013E-3</v>
      </c>
      <c r="S408" s="4" cm="1">
        <f t="array" ref="S408">INDEX(begin!I:I,MATCH(1, (all_inputs!A408=begin!A:A)*(all_inputs!J408=begin!C:C),0))</f>
        <v>1.1574074074074076E-4</v>
      </c>
      <c r="T408" s="4" cm="1">
        <f t="array" ref="T408">INDEX(begin!J:J,MATCH(1, (all_inputs!A408=begin!A:A)*(all_inputs!J408=begin!C:C),0))</f>
        <v>0.19997685185185188</v>
      </c>
      <c r="U408" s="4" cm="1">
        <f t="array" ref="U408">INDEX(begin!K:K,MATCH(1, (all_inputs!A408=begin!A:A)*(all_inputs!J408=begin!C:C),0))</f>
        <v>0.54993634259259261</v>
      </c>
      <c r="V408" s="4" cm="1">
        <f t="array" ref="V408">INDEX(begin!L:L,MATCH(1, (all_inputs!A408=begin!A:A)*(all_inputs!J408=begin!C:C),0))</f>
        <v>0.24997106481481482</v>
      </c>
      <c r="W408" s="21">
        <v>8.3333333333333343E-2</v>
      </c>
      <c r="X408" s="21">
        <v>0.27499999999999997</v>
      </c>
      <c r="Y408" s="21">
        <v>0.41249999999999998</v>
      </c>
      <c r="Z408" s="21">
        <v>0.22916666666666666</v>
      </c>
      <c r="AA408" t="b">
        <f>VLOOKUP(A408,ui!A$37:B$52,2,FALSE)</f>
        <v>0</v>
      </c>
    </row>
    <row r="409" spans="1:27" x14ac:dyDescent="0.25">
      <c r="A409" s="2" t="s">
        <v>21</v>
      </c>
      <c r="B409" s="41">
        <f>IF(COUNTIF(dropdown!B$2:B$12,all_inputs!A409)=1,1,IF(COUNTIF(dropdown!C$2:C$4,all_inputs!A409)=1,2,IF(COUNTIF(dropdown!D$2:D$3,all_inputs!A409)=1,3,"?")))</f>
        <v>3</v>
      </c>
      <c r="C409" s="2" t="s">
        <v>18</v>
      </c>
      <c r="D409" s="2" t="s">
        <v>469</v>
      </c>
      <c r="E409" s="2" t="s">
        <v>440</v>
      </c>
      <c r="F409" s="2">
        <f>RR!F5</f>
        <v>0.9</v>
      </c>
      <c r="G409" s="5">
        <f>ui!B$4</f>
        <v>2025</v>
      </c>
      <c r="H409" s="5">
        <f>ui!B$5</f>
        <v>2050</v>
      </c>
      <c r="I409" s="5" t="s">
        <v>93</v>
      </c>
      <c r="J409" s="5" t="str">
        <f>VLOOKUP(ui!B$2,dropdown!M:O,3,FALSE)</f>
        <v>LIC</v>
      </c>
      <c r="K409" s="5" cm="1">
        <f t="array" ref="K409">INDEX(begin!E:E,MATCH(1, (all_inputs!A409=begin!A:A)*(all_inputs!J409=begin!C:C),0))</f>
        <v>0.01</v>
      </c>
      <c r="L409" s="5" cm="1">
        <f t="array" ref="L409">INDEX(begin!F:F,MATCH(1, (all_inputs!A409=begin!A:A)*(all_inputs!J409=begin!C:C),0))</f>
        <v>9.0000000000000011E-3</v>
      </c>
      <c r="M409" s="5" cm="1">
        <f t="array" ref="M409">INDEX(begin!G:G,MATCH(1, (all_inputs!A409=begin!A:A)*(all_inputs!J409=begin!C:C),0))</f>
        <v>8.1000000000000013E-3</v>
      </c>
      <c r="N409" s="5">
        <f>VLOOKUP(A409,ui!A$37:C$52,3,FALSE)</f>
        <v>8.1000000000000013E-3</v>
      </c>
      <c r="O409" s="5" cm="1">
        <f t="array" ref="O409">INDEX(end!E:E,MATCH(1, (all_inputs!A409=end!A:A)*(all_inputs!J409=end!C:C),0))</f>
        <v>0.8</v>
      </c>
      <c r="P409" s="5" cm="1">
        <f t="array" ref="P409">INDEX(end!F:F,MATCH(1, (all_inputs!A409=end!A:A)*(all_inputs!J409=end!C:C),0))</f>
        <v>0.72000000000000008</v>
      </c>
      <c r="Q409" s="5" cm="1">
        <f t="array" ref="Q409">INDEX(end!G:G,MATCH(1, (all_inputs!A409=end!A:A)*(all_inputs!J409=end!C:C),0))</f>
        <v>0.64800000000000013</v>
      </c>
      <c r="R409" s="5">
        <f>VLOOKUP(A409,ui!A$37:G$52,4,FALSE)</f>
        <v>7.2900000000000013E-3</v>
      </c>
      <c r="S409" s="5" cm="1">
        <f t="array" ref="S409">INDEX(begin!I:I,MATCH(1, (all_inputs!A409=begin!A:A)*(all_inputs!J409=begin!C:C),0))</f>
        <v>1.1574074074074076E-4</v>
      </c>
      <c r="T409" s="5" cm="1">
        <f t="array" ref="T409">INDEX(begin!J:J,MATCH(1, (all_inputs!A409=begin!A:A)*(all_inputs!J409=begin!C:C),0))</f>
        <v>0.19997685185185188</v>
      </c>
      <c r="U409" s="5" cm="1">
        <f t="array" ref="U409">INDEX(begin!K:K,MATCH(1, (all_inputs!A409=begin!A:A)*(all_inputs!J409=begin!C:C),0))</f>
        <v>0.54993634259259261</v>
      </c>
      <c r="V409" s="5" cm="1">
        <f t="array" ref="V409">INDEX(begin!L:L,MATCH(1, (all_inputs!A409=begin!A:A)*(all_inputs!J409=begin!C:C),0))</f>
        <v>0.24997106481481482</v>
      </c>
      <c r="W409" s="22">
        <v>8.3333333333333343E-2</v>
      </c>
      <c r="X409" s="22">
        <v>0.27499999999999997</v>
      </c>
      <c r="Y409" s="22">
        <v>0.41249999999999998</v>
      </c>
      <c r="Z409" s="22">
        <v>0.22916666666666666</v>
      </c>
      <c r="AA409" s="2" t="b">
        <f>VLOOKUP(A409,ui!A$37:B$52,2,FALSE)</f>
        <v>0</v>
      </c>
    </row>
    <row r="410" spans="1:27" x14ac:dyDescent="0.25">
      <c r="A410" t="s">
        <v>22</v>
      </c>
      <c r="B410" s="40">
        <f>IF(COUNTIF(dropdown!B$2:B$12,all_inputs!A410)=1,1,IF(COUNTIF(dropdown!C$2:C$4,all_inputs!A410)=1,2,IF(COUNTIF(dropdown!D$2:D$3,all_inputs!A410)=1,3,"?")))</f>
        <v>1</v>
      </c>
      <c r="C410" t="s">
        <v>13</v>
      </c>
      <c r="D410" t="s">
        <v>472</v>
      </c>
      <c r="E410" t="s">
        <v>440</v>
      </c>
      <c r="F410" s="4" cm="1">
        <f t="array" ref="F410">IF(B410&lt;&gt;3,1,_xlfn.IFNA(INDEX(#REF!,MATCH(1, (all_inputs!A410=#REF!)*(all_inputs!D410=#REF!),0)),1))</f>
        <v>1</v>
      </c>
      <c r="G410" s="4">
        <f>ui!B$4</f>
        <v>2025</v>
      </c>
      <c r="H410" s="4">
        <f>ui!B$5</f>
        <v>2050</v>
      </c>
      <c r="I410" s="4" t="s">
        <v>93</v>
      </c>
      <c r="J410" s="4" t="str">
        <f>VLOOKUP(ui!B$2,dropdown!M:O,3,FALSE)</f>
        <v>LIC</v>
      </c>
      <c r="K410" s="4" cm="1">
        <f t="array" ref="K410">INDEX(begin!E:E,MATCH(1, (all_inputs!A410=begin!A:A)*(all_inputs!J410=begin!C:C),0))</f>
        <v>0</v>
      </c>
      <c r="L410" s="4" cm="1">
        <f t="array" ref="L410">INDEX(begin!F:F,MATCH(1, (all_inputs!A410=begin!A:A)*(all_inputs!J410=begin!C:C),0))</f>
        <v>0.05</v>
      </c>
      <c r="M410" s="4" cm="1">
        <f t="array" ref="M410">INDEX(begin!G:G,MATCH(1, (all_inputs!A410=begin!A:A)*(all_inputs!J410=begin!C:C),0))</f>
        <v>4.5000000000000005E-2</v>
      </c>
      <c r="N410" s="4">
        <f>VLOOKUP(A410,ui!A$37:C$52,3,FALSE)</f>
        <v>4.5000000000000005E-2</v>
      </c>
      <c r="O410" s="4" cm="1">
        <f t="array" ref="O410">INDEX(end!E:E,MATCH(1, (all_inputs!A410=end!A:A)*(all_inputs!J410=end!C:C),0))</f>
        <v>0</v>
      </c>
      <c r="P410" s="4" cm="1">
        <f t="array" ref="P410">INDEX(end!F:F,MATCH(1, (all_inputs!A410=end!A:A)*(all_inputs!J410=end!C:C),0))</f>
        <v>0.8</v>
      </c>
      <c r="Q410" s="4" cm="1">
        <f t="array" ref="Q410">INDEX(end!G:G,MATCH(1, (all_inputs!A410=end!A:A)*(all_inputs!J410=end!C:C),0))</f>
        <v>0.72000000000000008</v>
      </c>
      <c r="R410" s="4">
        <f>VLOOKUP(A410,ui!A$37:G$52,4,FALSE)</f>
        <v>4.0500000000000008E-2</v>
      </c>
      <c r="S410" s="4" cm="1">
        <f t="array" ref="S410">INDEX(begin!I:I,MATCH(1, (all_inputs!A410=begin!A:A)*(all_inputs!J410=begin!C:C),0))</f>
        <v>0</v>
      </c>
      <c r="T410" s="4" cm="1">
        <f t="array" ref="T410">INDEX(begin!J:J,MATCH(1, (all_inputs!A410=begin!A:A)*(all_inputs!J410=begin!C:C),0))</f>
        <v>1</v>
      </c>
      <c r="U410" s="4" cm="1">
        <f t="array" ref="U410">INDEX(begin!K:K,MATCH(1, (all_inputs!A410=begin!A:A)*(all_inputs!J410=begin!C:C),0))</f>
        <v>0</v>
      </c>
      <c r="V410" s="4" cm="1">
        <f t="array" ref="V410">INDEX(begin!L:L,MATCH(1, (all_inputs!A410=begin!A:A)*(all_inputs!J410=begin!C:C),0))</f>
        <v>0</v>
      </c>
      <c r="W410" s="4" cm="1">
        <f t="array" ref="W410">_xlfn.IFNA(INDEX(end!I:I,MATCH(1, (all_inputs!A410=end!A:A)*(all_inputs!J410=end!C:C),0)),"")</f>
        <v>0</v>
      </c>
      <c r="X410" s="4" cm="1">
        <f t="array" ref="X410">_xlfn.IFNA(INDEX(end!J:J,MATCH(1, (all_inputs!A410=end!A:A)*(all_inputs!J410=end!C:C),0)),"")</f>
        <v>1</v>
      </c>
      <c r="Y410" s="4" cm="1">
        <f t="array" ref="Y410">_xlfn.IFNA(INDEX(end!K:K,MATCH(1, (all_inputs!A410=end!A:A)*(all_inputs!J410=end!C:C),0)),"")</f>
        <v>0</v>
      </c>
      <c r="Z410" s="4" cm="1">
        <f t="array" ref="Z410">_xlfn.IFNA(INDEX(end!L:L,MATCH(1, (all_inputs!A410=end!A:A)*(all_inputs!J410=end!C:C),0)),"")</f>
        <v>0</v>
      </c>
      <c r="AA410" t="b">
        <f>VLOOKUP(A410,ui!A$37:B$52,2,FALSE)</f>
        <v>1</v>
      </c>
    </row>
    <row r="411" spans="1:27" x14ac:dyDescent="0.25">
      <c r="A411" t="s">
        <v>22</v>
      </c>
      <c r="B411" s="40">
        <f>IF(COUNTIF(dropdown!B$2:B$12,all_inputs!A411)=1,1,IF(COUNTIF(dropdown!C$2:C$4,all_inputs!A411)=1,2,IF(COUNTIF(dropdown!D$2:D$3,all_inputs!A411)=1,3,"?")))</f>
        <v>1</v>
      </c>
      <c r="C411" t="s">
        <v>14</v>
      </c>
      <c r="D411" t="s">
        <v>466</v>
      </c>
      <c r="E411" t="s">
        <v>440</v>
      </c>
      <c r="F411">
        <f>RR!C6</f>
        <v>1</v>
      </c>
      <c r="G411" s="4">
        <f>ui!B$4</f>
        <v>2025</v>
      </c>
      <c r="H411" s="4">
        <f>ui!B$5</f>
        <v>2050</v>
      </c>
      <c r="I411" s="4" t="s">
        <v>93</v>
      </c>
      <c r="J411" s="4" t="str">
        <f>VLOOKUP(ui!B$2,dropdown!M:O,3,FALSE)</f>
        <v>LIC</v>
      </c>
      <c r="K411" s="4" cm="1">
        <f t="array" ref="K411">INDEX(begin!E:E,MATCH(1, (all_inputs!A411=begin!A:A)*(all_inputs!J411=begin!C:C),0))</f>
        <v>0</v>
      </c>
      <c r="L411" s="4" cm="1">
        <f t="array" ref="L411">INDEX(begin!F:F,MATCH(1, (all_inputs!A411=begin!A:A)*(all_inputs!J411=begin!C:C),0))</f>
        <v>0.05</v>
      </c>
      <c r="M411" s="4" cm="1">
        <f t="array" ref="M411">INDEX(begin!G:G,MATCH(1, (all_inputs!A411=begin!A:A)*(all_inputs!J411=begin!C:C),0))</f>
        <v>4.5000000000000005E-2</v>
      </c>
      <c r="N411" s="4">
        <f>VLOOKUP(A411,ui!A$37:C$52,3,FALSE)</f>
        <v>4.5000000000000005E-2</v>
      </c>
      <c r="O411" s="4" cm="1">
        <f t="array" ref="O411">INDEX(end!E:E,MATCH(1, (all_inputs!A411=end!A:A)*(all_inputs!J411=end!C:C),0))</f>
        <v>0</v>
      </c>
      <c r="P411" s="4" cm="1">
        <f t="array" ref="P411">INDEX(end!F:F,MATCH(1, (all_inputs!A411=end!A:A)*(all_inputs!J411=end!C:C),0))</f>
        <v>0.8</v>
      </c>
      <c r="Q411" s="4" cm="1">
        <f t="array" ref="Q411">INDEX(end!G:G,MATCH(1, (all_inputs!A411=end!A:A)*(all_inputs!J411=end!C:C),0))</f>
        <v>0.72000000000000008</v>
      </c>
      <c r="R411" s="4">
        <f>VLOOKUP(A411,ui!A$37:G$52,4,FALSE)</f>
        <v>4.0500000000000008E-2</v>
      </c>
      <c r="S411" s="4" cm="1">
        <f t="array" ref="S411">INDEX(begin!I:I,MATCH(1, (all_inputs!A411=begin!A:A)*(all_inputs!J411=begin!C:C),0))</f>
        <v>0</v>
      </c>
      <c r="T411" s="4" cm="1">
        <f t="array" ref="T411">INDEX(begin!J:J,MATCH(1, (all_inputs!A411=begin!A:A)*(all_inputs!J411=begin!C:C),0))</f>
        <v>1</v>
      </c>
      <c r="U411" s="4" cm="1">
        <f t="array" ref="U411">INDEX(begin!K:K,MATCH(1, (all_inputs!A411=begin!A:A)*(all_inputs!J411=begin!C:C),0))</f>
        <v>0</v>
      </c>
      <c r="V411" s="4" cm="1">
        <f t="array" ref="V411">INDEX(begin!L:L,MATCH(1, (all_inputs!A411=begin!A:A)*(all_inputs!J411=begin!C:C),0))</f>
        <v>0</v>
      </c>
      <c r="W411" s="4" cm="1">
        <f t="array" ref="W411">_xlfn.IFNA(INDEX(end!I:I,MATCH(1, (all_inputs!A411=end!A:A)*(all_inputs!J411=end!C:C),0)),"")</f>
        <v>0</v>
      </c>
      <c r="X411" s="4" cm="1">
        <f t="array" ref="X411">_xlfn.IFNA(INDEX(end!J:J,MATCH(1, (all_inputs!A411=end!A:A)*(all_inputs!J411=end!C:C),0)),"")</f>
        <v>1</v>
      </c>
      <c r="Y411" s="4" cm="1">
        <f t="array" ref="Y411">_xlfn.IFNA(INDEX(end!K:K,MATCH(1, (all_inputs!A411=end!A:A)*(all_inputs!J411=end!C:C),0)),"")</f>
        <v>0</v>
      </c>
      <c r="Z411" s="4" cm="1">
        <f t="array" ref="Z411">_xlfn.IFNA(INDEX(end!L:L,MATCH(1, (all_inputs!A411=end!A:A)*(all_inputs!J411=end!C:C),0)),"")</f>
        <v>0</v>
      </c>
      <c r="AA411" t="b">
        <f>VLOOKUP(A411,ui!A$37:B$52,2,FALSE)</f>
        <v>1</v>
      </c>
    </row>
    <row r="412" spans="1:27" x14ac:dyDescent="0.25">
      <c r="A412" t="s">
        <v>22</v>
      </c>
      <c r="B412" s="40">
        <f>IF(COUNTIF(dropdown!B$2:B$12,all_inputs!A412)=1,1,IF(COUNTIF(dropdown!C$2:C$4,all_inputs!A412)=1,2,IF(COUNTIF(dropdown!D$2:D$3,all_inputs!A412)=1,3,"?")))</f>
        <v>1</v>
      </c>
      <c r="C412" t="s">
        <v>15</v>
      </c>
      <c r="D412" t="s">
        <v>466</v>
      </c>
      <c r="E412" t="s">
        <v>440</v>
      </c>
      <c r="F412" s="4">
        <v>1</v>
      </c>
      <c r="G412" s="4">
        <f>ui!B$4</f>
        <v>2025</v>
      </c>
      <c r="H412" s="4">
        <f>ui!B$5</f>
        <v>2050</v>
      </c>
      <c r="I412" s="4" t="s">
        <v>93</v>
      </c>
      <c r="J412" s="4" t="str">
        <f>VLOOKUP(ui!B$2,dropdown!M:O,3,FALSE)</f>
        <v>LIC</v>
      </c>
      <c r="K412" s="4" cm="1">
        <f t="array" ref="K412">INDEX(begin!E:E,MATCH(1, (all_inputs!A412=begin!A:A)*(all_inputs!J412=begin!C:C),0))</f>
        <v>0</v>
      </c>
      <c r="L412" s="4" cm="1">
        <f t="array" ref="L412">INDEX(begin!F:F,MATCH(1, (all_inputs!A412=begin!A:A)*(all_inputs!J412=begin!C:C),0))</f>
        <v>0.05</v>
      </c>
      <c r="M412" s="4" cm="1">
        <f t="array" ref="M412">INDEX(begin!G:G,MATCH(1, (all_inputs!A412=begin!A:A)*(all_inputs!J412=begin!C:C),0))</f>
        <v>4.5000000000000005E-2</v>
      </c>
      <c r="N412" s="4">
        <f>VLOOKUP(A412,ui!A$37:C$52,3,FALSE)</f>
        <v>4.5000000000000005E-2</v>
      </c>
      <c r="O412" s="4" cm="1">
        <f t="array" ref="O412">INDEX(end!E:E,MATCH(1, (all_inputs!A412=end!A:A)*(all_inputs!J412=end!C:C),0))</f>
        <v>0</v>
      </c>
      <c r="P412" s="4" cm="1">
        <f t="array" ref="P412">INDEX(end!F:F,MATCH(1, (all_inputs!A412=end!A:A)*(all_inputs!J412=end!C:C),0))</f>
        <v>0.8</v>
      </c>
      <c r="Q412" s="4" cm="1">
        <f t="array" ref="Q412">INDEX(end!G:G,MATCH(1, (all_inputs!A412=end!A:A)*(all_inputs!J412=end!C:C),0))</f>
        <v>0.72000000000000008</v>
      </c>
      <c r="R412" s="4">
        <f>VLOOKUP(A412,ui!A$37:G$52,4,FALSE)</f>
        <v>4.0500000000000008E-2</v>
      </c>
      <c r="S412" s="4" cm="1">
        <f t="array" ref="S412">INDEX(begin!I:I,MATCH(1, (all_inputs!A412=begin!A:A)*(all_inputs!J412=begin!C:C),0))</f>
        <v>0</v>
      </c>
      <c r="T412" s="4" cm="1">
        <f t="array" ref="T412">INDEX(begin!J:J,MATCH(1, (all_inputs!A412=begin!A:A)*(all_inputs!J412=begin!C:C),0))</f>
        <v>1</v>
      </c>
      <c r="U412" s="4" cm="1">
        <f t="array" ref="U412">INDEX(begin!K:K,MATCH(1, (all_inputs!A412=begin!A:A)*(all_inputs!J412=begin!C:C),0))</f>
        <v>0</v>
      </c>
      <c r="V412" s="4" cm="1">
        <f t="array" ref="V412">INDEX(begin!L:L,MATCH(1, (all_inputs!A412=begin!A:A)*(all_inputs!J412=begin!C:C),0))</f>
        <v>0</v>
      </c>
      <c r="W412" s="4" cm="1">
        <f t="array" ref="W412">_xlfn.IFNA(INDEX(end!I:I,MATCH(1, (all_inputs!A412=end!A:A)*(all_inputs!J412=end!C:C),0)),"")</f>
        <v>0</v>
      </c>
      <c r="X412" s="4" cm="1">
        <f t="array" ref="X412">_xlfn.IFNA(INDEX(end!J:J,MATCH(1, (all_inputs!A412=end!A:A)*(all_inputs!J412=end!C:C),0)),"")</f>
        <v>1</v>
      </c>
      <c r="Y412" s="4" cm="1">
        <f t="array" ref="Y412">_xlfn.IFNA(INDEX(end!K:K,MATCH(1, (all_inputs!A412=end!A:A)*(all_inputs!J412=end!C:C),0)),"")</f>
        <v>0</v>
      </c>
      <c r="Z412" s="4" cm="1">
        <f t="array" ref="Z412">_xlfn.IFNA(INDEX(end!L:L,MATCH(1, (all_inputs!A412=end!A:A)*(all_inputs!J412=end!C:C),0)),"")</f>
        <v>0</v>
      </c>
      <c r="AA412" t="b">
        <f>VLOOKUP(A412,ui!A$37:B$52,2,FALSE)</f>
        <v>1</v>
      </c>
    </row>
    <row r="413" spans="1:27" x14ac:dyDescent="0.25">
      <c r="A413" t="s">
        <v>22</v>
      </c>
      <c r="B413" s="40">
        <f>IF(COUNTIF(dropdown!B$2:B$12,all_inputs!A413)=1,1,IF(COUNTIF(dropdown!C$2:C$4,all_inputs!A413)=1,2,IF(COUNTIF(dropdown!D$2:D$3,all_inputs!A413)=1,3,"?")))</f>
        <v>1</v>
      </c>
      <c r="C413" t="s">
        <v>16</v>
      </c>
      <c r="D413" t="s">
        <v>467</v>
      </c>
      <c r="E413" t="s">
        <v>440</v>
      </c>
      <c r="F413" s="4">
        <v>1</v>
      </c>
      <c r="G413" s="4">
        <f>ui!B$4</f>
        <v>2025</v>
      </c>
      <c r="H413" s="4">
        <f>ui!B$5</f>
        <v>2050</v>
      </c>
      <c r="I413" s="4" t="s">
        <v>93</v>
      </c>
      <c r="J413" s="4" t="str">
        <f>VLOOKUP(ui!B$2,dropdown!M:O,3,FALSE)</f>
        <v>LIC</v>
      </c>
      <c r="K413" s="4" cm="1">
        <f t="array" ref="K413">INDEX(begin!E:E,MATCH(1, (all_inputs!A413=begin!A:A)*(all_inputs!J413=begin!C:C),0))</f>
        <v>0</v>
      </c>
      <c r="L413" s="4" cm="1">
        <f t="array" ref="L413">INDEX(begin!F:F,MATCH(1, (all_inputs!A413=begin!A:A)*(all_inputs!J413=begin!C:C),0))</f>
        <v>0.05</v>
      </c>
      <c r="M413" s="4" cm="1">
        <f t="array" ref="M413">INDEX(begin!G:G,MATCH(1, (all_inputs!A413=begin!A:A)*(all_inputs!J413=begin!C:C),0))</f>
        <v>4.5000000000000005E-2</v>
      </c>
      <c r="N413" s="4">
        <f>VLOOKUP(A413,ui!A$37:C$52,3,FALSE)</f>
        <v>4.5000000000000005E-2</v>
      </c>
      <c r="O413" s="4" cm="1">
        <f t="array" ref="O413">INDEX(end!E:E,MATCH(1, (all_inputs!A413=end!A:A)*(all_inputs!J413=end!C:C),0))</f>
        <v>0</v>
      </c>
      <c r="P413" s="4" cm="1">
        <f t="array" ref="P413">INDEX(end!F:F,MATCH(1, (all_inputs!A413=end!A:A)*(all_inputs!J413=end!C:C),0))</f>
        <v>0.8</v>
      </c>
      <c r="Q413" s="4" cm="1">
        <f t="array" ref="Q413">INDEX(end!G:G,MATCH(1, (all_inputs!A413=end!A:A)*(all_inputs!J413=end!C:C),0))</f>
        <v>0.72000000000000008</v>
      </c>
      <c r="R413" s="4">
        <f>VLOOKUP(A413,ui!A$37:G$52,4,FALSE)</f>
        <v>4.0500000000000008E-2</v>
      </c>
      <c r="S413" s="4" cm="1">
        <f t="array" ref="S413">INDEX(begin!I:I,MATCH(1, (all_inputs!A413=begin!A:A)*(all_inputs!J413=begin!C:C),0))</f>
        <v>0</v>
      </c>
      <c r="T413" s="4" cm="1">
        <f t="array" ref="T413">INDEX(begin!J:J,MATCH(1, (all_inputs!A413=begin!A:A)*(all_inputs!J413=begin!C:C),0))</f>
        <v>1</v>
      </c>
      <c r="U413" s="4" cm="1">
        <f t="array" ref="U413">INDEX(begin!K:K,MATCH(1, (all_inputs!A413=begin!A:A)*(all_inputs!J413=begin!C:C),0))</f>
        <v>0</v>
      </c>
      <c r="V413" s="4" cm="1">
        <f t="array" ref="V413">INDEX(begin!L:L,MATCH(1, (all_inputs!A413=begin!A:A)*(all_inputs!J413=begin!C:C),0))</f>
        <v>0</v>
      </c>
      <c r="W413" s="4" cm="1">
        <f t="array" ref="W413">_xlfn.IFNA(INDEX(end!I:I,MATCH(1, (all_inputs!A413=end!A:A)*(all_inputs!J413=end!C:C),0)),"")</f>
        <v>0</v>
      </c>
      <c r="X413" s="4" cm="1">
        <f t="array" ref="X413">_xlfn.IFNA(INDEX(end!J:J,MATCH(1, (all_inputs!A413=end!A:A)*(all_inputs!J413=end!C:C),0)),"")</f>
        <v>1</v>
      </c>
      <c r="Y413" s="4" cm="1">
        <f t="array" ref="Y413">_xlfn.IFNA(INDEX(end!K:K,MATCH(1, (all_inputs!A413=end!A:A)*(all_inputs!J413=end!C:C),0)),"")</f>
        <v>0</v>
      </c>
      <c r="Z413" s="4" cm="1">
        <f t="array" ref="Z413">_xlfn.IFNA(INDEX(end!L:L,MATCH(1, (all_inputs!A413=end!A:A)*(all_inputs!J413=end!C:C),0)),"")</f>
        <v>0</v>
      </c>
      <c r="AA413" t="b">
        <f>VLOOKUP(A413,ui!A$37:B$52,2,FALSE)</f>
        <v>1</v>
      </c>
    </row>
    <row r="414" spans="1:27" x14ac:dyDescent="0.25">
      <c r="A414" t="s">
        <v>22</v>
      </c>
      <c r="B414" s="40">
        <f>IF(COUNTIF(dropdown!B$2:B$12,all_inputs!A414)=1,1,IF(COUNTIF(dropdown!C$2:C$4,all_inputs!A414)=1,2,IF(COUNTIF(dropdown!D$2:D$3,all_inputs!A414)=1,3,"?")))</f>
        <v>1</v>
      </c>
      <c r="C414" t="s">
        <v>17</v>
      </c>
      <c r="D414" t="s">
        <v>468</v>
      </c>
      <c r="E414" t="s">
        <v>440</v>
      </c>
      <c r="F414" s="4">
        <v>1</v>
      </c>
      <c r="G414" s="4">
        <f>ui!B$4</f>
        <v>2025</v>
      </c>
      <c r="H414" s="4">
        <f>ui!B$5</f>
        <v>2050</v>
      </c>
      <c r="I414" s="4" t="s">
        <v>93</v>
      </c>
      <c r="J414" s="4" t="str">
        <f>VLOOKUP(ui!B$2,dropdown!M:O,3,FALSE)</f>
        <v>LIC</v>
      </c>
      <c r="K414" s="4" cm="1">
        <f t="array" ref="K414">INDEX(begin!E:E,MATCH(1, (all_inputs!A414=begin!A:A)*(all_inputs!J414=begin!C:C),0))</f>
        <v>0</v>
      </c>
      <c r="L414" s="4" cm="1">
        <f t="array" ref="L414">INDEX(begin!F:F,MATCH(1, (all_inputs!A414=begin!A:A)*(all_inputs!J414=begin!C:C),0))</f>
        <v>0.05</v>
      </c>
      <c r="M414" s="4" cm="1">
        <f t="array" ref="M414">INDEX(begin!G:G,MATCH(1, (all_inputs!A414=begin!A:A)*(all_inputs!J414=begin!C:C),0))</f>
        <v>4.5000000000000005E-2</v>
      </c>
      <c r="N414" s="4">
        <f>VLOOKUP(A414,ui!A$37:C$52,3,FALSE)</f>
        <v>4.5000000000000005E-2</v>
      </c>
      <c r="O414" s="4" cm="1">
        <f t="array" ref="O414">INDEX(end!E:E,MATCH(1, (all_inputs!A414=end!A:A)*(all_inputs!J414=end!C:C),0))</f>
        <v>0</v>
      </c>
      <c r="P414" s="4" cm="1">
        <f t="array" ref="P414">INDEX(end!F:F,MATCH(1, (all_inputs!A414=end!A:A)*(all_inputs!J414=end!C:C),0))</f>
        <v>0.8</v>
      </c>
      <c r="Q414" s="4" cm="1">
        <f t="array" ref="Q414">INDEX(end!G:G,MATCH(1, (all_inputs!A414=end!A:A)*(all_inputs!J414=end!C:C),0))</f>
        <v>0.72000000000000008</v>
      </c>
      <c r="R414" s="4">
        <f>VLOOKUP(A414,ui!A$37:G$52,4,FALSE)</f>
        <v>4.0500000000000008E-2</v>
      </c>
      <c r="S414" s="4" cm="1">
        <f t="array" ref="S414">INDEX(begin!I:I,MATCH(1, (all_inputs!A414=begin!A:A)*(all_inputs!J414=begin!C:C),0))</f>
        <v>0</v>
      </c>
      <c r="T414" s="4" cm="1">
        <f t="array" ref="T414">INDEX(begin!J:J,MATCH(1, (all_inputs!A414=begin!A:A)*(all_inputs!J414=begin!C:C),0))</f>
        <v>1</v>
      </c>
      <c r="U414" s="4" cm="1">
        <f t="array" ref="U414">INDEX(begin!K:K,MATCH(1, (all_inputs!A414=begin!A:A)*(all_inputs!J414=begin!C:C),0))</f>
        <v>0</v>
      </c>
      <c r="V414" s="4" cm="1">
        <f t="array" ref="V414">INDEX(begin!L:L,MATCH(1, (all_inputs!A414=begin!A:A)*(all_inputs!J414=begin!C:C),0))</f>
        <v>0</v>
      </c>
      <c r="W414" s="4" cm="1">
        <f t="array" ref="W414">_xlfn.IFNA(INDEX(end!I:I,MATCH(1, (all_inputs!A414=end!A:A)*(all_inputs!J414=end!C:C),0)),"")</f>
        <v>0</v>
      </c>
      <c r="X414" s="4" cm="1">
        <f t="array" ref="X414">_xlfn.IFNA(INDEX(end!J:J,MATCH(1, (all_inputs!A414=end!A:A)*(all_inputs!J414=end!C:C),0)),"")</f>
        <v>1</v>
      </c>
      <c r="Y414" s="4" cm="1">
        <f t="array" ref="Y414">_xlfn.IFNA(INDEX(end!K:K,MATCH(1, (all_inputs!A414=end!A:A)*(all_inputs!J414=end!C:C),0)),"")</f>
        <v>0</v>
      </c>
      <c r="Z414" s="4" cm="1">
        <f t="array" ref="Z414">_xlfn.IFNA(INDEX(end!L:L,MATCH(1, (all_inputs!A414=end!A:A)*(all_inputs!J414=end!C:C),0)),"")</f>
        <v>0</v>
      </c>
      <c r="AA414" t="b">
        <f>VLOOKUP(A414,ui!A$37:B$52,2,FALSE)</f>
        <v>1</v>
      </c>
    </row>
    <row r="415" spans="1:27" x14ac:dyDescent="0.25">
      <c r="A415" s="2" t="s">
        <v>22</v>
      </c>
      <c r="B415" s="41">
        <f>IF(COUNTIF(dropdown!B$2:B$12,all_inputs!A415)=1,1,IF(COUNTIF(dropdown!C$2:C$4,all_inputs!A415)=1,2,IF(COUNTIF(dropdown!D$2:D$3,all_inputs!A415)=1,3,"?")))</f>
        <v>1</v>
      </c>
      <c r="C415" s="2" t="s">
        <v>18</v>
      </c>
      <c r="D415" s="2" t="s">
        <v>469</v>
      </c>
      <c r="E415" s="2" t="s">
        <v>440</v>
      </c>
      <c r="F415" s="2">
        <f>RR!F6</f>
        <v>0.8</v>
      </c>
      <c r="G415" s="5">
        <f>ui!B$4</f>
        <v>2025</v>
      </c>
      <c r="H415" s="5">
        <f>ui!B$5</f>
        <v>2050</v>
      </c>
      <c r="I415" s="5" t="s">
        <v>93</v>
      </c>
      <c r="J415" s="5" t="str">
        <f>VLOOKUP(ui!B$2,dropdown!M:O,3,FALSE)</f>
        <v>LIC</v>
      </c>
      <c r="K415" s="5" cm="1">
        <f t="array" ref="K415">INDEX(begin!E:E,MATCH(1, (all_inputs!A415=begin!A:A)*(all_inputs!J415=begin!C:C),0))</f>
        <v>0</v>
      </c>
      <c r="L415" s="5" cm="1">
        <f t="array" ref="L415">INDEX(begin!F:F,MATCH(1, (all_inputs!A415=begin!A:A)*(all_inputs!J415=begin!C:C),0))</f>
        <v>0.05</v>
      </c>
      <c r="M415" s="5" cm="1">
        <f t="array" ref="M415">INDEX(begin!G:G,MATCH(1, (all_inputs!A415=begin!A:A)*(all_inputs!J415=begin!C:C),0))</f>
        <v>4.5000000000000005E-2</v>
      </c>
      <c r="N415" s="5">
        <f>VLOOKUP(A415,ui!A$37:C$52,3,FALSE)</f>
        <v>4.5000000000000005E-2</v>
      </c>
      <c r="O415" s="5" cm="1">
        <f t="array" ref="O415">INDEX(end!E:E,MATCH(1, (all_inputs!A415=end!A:A)*(all_inputs!J415=end!C:C),0))</f>
        <v>0</v>
      </c>
      <c r="P415" s="5" cm="1">
        <f t="array" ref="P415">INDEX(end!F:F,MATCH(1, (all_inputs!A415=end!A:A)*(all_inputs!J415=end!C:C),0))</f>
        <v>0.8</v>
      </c>
      <c r="Q415" s="5" cm="1">
        <f t="array" ref="Q415">INDEX(end!G:G,MATCH(1, (all_inputs!A415=end!A:A)*(all_inputs!J415=end!C:C),0))</f>
        <v>0.72000000000000008</v>
      </c>
      <c r="R415" s="5">
        <f>VLOOKUP(A415,ui!A$37:G$52,4,FALSE)</f>
        <v>4.0500000000000008E-2</v>
      </c>
      <c r="S415" s="5" cm="1">
        <f t="array" ref="S415">INDEX(begin!I:I,MATCH(1, (all_inputs!A415=begin!A:A)*(all_inputs!J415=begin!C:C),0))</f>
        <v>0</v>
      </c>
      <c r="T415" s="5" cm="1">
        <f t="array" ref="T415">INDEX(begin!J:J,MATCH(1, (all_inputs!A415=begin!A:A)*(all_inputs!J415=begin!C:C),0))</f>
        <v>1</v>
      </c>
      <c r="U415" s="5" cm="1">
        <f t="array" ref="U415">INDEX(begin!K:K,MATCH(1, (all_inputs!A415=begin!A:A)*(all_inputs!J415=begin!C:C),0))</f>
        <v>0</v>
      </c>
      <c r="V415" s="5" cm="1">
        <f t="array" ref="V415">INDEX(begin!L:L,MATCH(1, (all_inputs!A415=begin!A:A)*(all_inputs!J415=begin!C:C),0))</f>
        <v>0</v>
      </c>
      <c r="W415" s="5" cm="1">
        <f t="array" ref="W415">_xlfn.IFNA(INDEX(end!I:I,MATCH(1, (all_inputs!A415=end!A:A)*(all_inputs!J415=end!C:C),0)),"")</f>
        <v>0</v>
      </c>
      <c r="X415" s="5" cm="1">
        <f t="array" ref="X415">_xlfn.IFNA(INDEX(end!J:J,MATCH(1, (all_inputs!A415=end!A:A)*(all_inputs!J415=end!C:C),0)),"")</f>
        <v>1</v>
      </c>
      <c r="Y415" s="5" cm="1">
        <f t="array" ref="Y415">_xlfn.IFNA(INDEX(end!K:K,MATCH(1, (all_inputs!A415=end!A:A)*(all_inputs!J415=end!C:C),0)),"")</f>
        <v>0</v>
      </c>
      <c r="Z415" s="5" cm="1">
        <f t="array" ref="Z415">_xlfn.IFNA(INDEX(end!L:L,MATCH(1, (all_inputs!A415=end!A:A)*(all_inputs!J415=end!C:C),0)),"")</f>
        <v>0</v>
      </c>
      <c r="AA415" s="2" t="b">
        <f>VLOOKUP(A415,ui!A$37:B$52,2,FALSE)</f>
        <v>1</v>
      </c>
    </row>
    <row r="416" spans="1:27" x14ac:dyDescent="0.25">
      <c r="A416" t="s">
        <v>23</v>
      </c>
      <c r="B416" s="40">
        <f>IF(COUNTIF(dropdown!B$2:B$12,all_inputs!A416)=1,1,IF(COUNTIF(dropdown!C$2:C$4,all_inputs!A416)=1,2,IF(COUNTIF(dropdown!D$2:D$3,all_inputs!A416)=1,3,"?")))</f>
        <v>1</v>
      </c>
      <c r="C416" t="s">
        <v>13</v>
      </c>
      <c r="D416" t="s">
        <v>472</v>
      </c>
      <c r="E416" t="s">
        <v>440</v>
      </c>
      <c r="F416" s="4" cm="1">
        <f t="array" ref="F416">IF(B416&lt;&gt;3,1,_xlfn.IFNA(INDEX(#REF!,MATCH(1, (all_inputs!A416=#REF!)*(all_inputs!D416=#REF!),0)),1))</f>
        <v>1</v>
      </c>
      <c r="G416" s="4">
        <f>ui!B$4</f>
        <v>2025</v>
      </c>
      <c r="H416" s="4">
        <f>ui!B$5</f>
        <v>2050</v>
      </c>
      <c r="I416" s="4" t="s">
        <v>93</v>
      </c>
      <c r="J416" s="4" t="str">
        <f>VLOOKUP(ui!B$2,dropdown!M:O,3,FALSE)</f>
        <v>LIC</v>
      </c>
      <c r="K416" s="4" cm="1">
        <f t="array" ref="K416">INDEX(begin!E:E,MATCH(1, (all_inputs!A416=begin!A:A)*(all_inputs!J416=begin!C:C),0))</f>
        <v>0</v>
      </c>
      <c r="L416" s="4" cm="1">
        <f t="array" ref="L416">INDEX(begin!F:F,MATCH(1, (all_inputs!A416=begin!A:A)*(all_inputs!J416=begin!C:C),0))</f>
        <v>0.05</v>
      </c>
      <c r="M416" s="4" cm="1">
        <f t="array" ref="M416">INDEX(begin!G:G,MATCH(1, (all_inputs!A416=begin!A:A)*(all_inputs!J416=begin!C:C),0))</f>
        <v>4.5000000000000005E-2</v>
      </c>
      <c r="N416" s="4">
        <f>VLOOKUP(A416,ui!A$37:C$52,3,FALSE)</f>
        <v>4.5000000000000005E-2</v>
      </c>
      <c r="O416" s="4" cm="1">
        <f t="array" ref="O416">INDEX(end!E:E,MATCH(1, (all_inputs!A416=end!A:A)*(all_inputs!J416=end!C:C),0))</f>
        <v>0</v>
      </c>
      <c r="P416" s="4" cm="1">
        <f t="array" ref="P416">INDEX(end!F:F,MATCH(1, (all_inputs!A416=end!A:A)*(all_inputs!J416=end!C:C),0))</f>
        <v>0.8</v>
      </c>
      <c r="Q416" s="4" cm="1">
        <f t="array" ref="Q416">INDEX(end!G:G,MATCH(1, (all_inputs!A416=end!A:A)*(all_inputs!J416=end!C:C),0))</f>
        <v>0.72000000000000008</v>
      </c>
      <c r="R416" s="4">
        <f>VLOOKUP(A416,ui!A$37:G$52,4,FALSE)</f>
        <v>4.0500000000000008E-2</v>
      </c>
      <c r="S416" s="4" cm="1">
        <f t="array" ref="S416">INDEX(begin!I:I,MATCH(1, (all_inputs!A416=begin!A:A)*(all_inputs!J416=begin!C:C),0))</f>
        <v>0</v>
      </c>
      <c r="T416" s="4" cm="1">
        <f t="array" ref="T416">INDEX(begin!J:J,MATCH(1, (all_inputs!A416=begin!A:A)*(all_inputs!J416=begin!C:C),0))</f>
        <v>1</v>
      </c>
      <c r="U416" s="4" cm="1">
        <f t="array" ref="U416">INDEX(begin!K:K,MATCH(1, (all_inputs!A416=begin!A:A)*(all_inputs!J416=begin!C:C),0))</f>
        <v>0</v>
      </c>
      <c r="V416" s="4" cm="1">
        <f t="array" ref="V416">INDEX(begin!L:L,MATCH(1, (all_inputs!A416=begin!A:A)*(all_inputs!J416=begin!C:C),0))</f>
        <v>0</v>
      </c>
      <c r="W416" s="4" cm="1">
        <f t="array" ref="W416">_xlfn.IFNA(INDEX(end!I:I,MATCH(1, (all_inputs!A416=end!A:A)*(all_inputs!J416=end!C:C),0)),"")</f>
        <v>0</v>
      </c>
      <c r="X416" s="4" cm="1">
        <f t="array" ref="X416">_xlfn.IFNA(INDEX(end!J:J,MATCH(1, (all_inputs!A416=end!A:A)*(all_inputs!J416=end!C:C),0)),"")</f>
        <v>1</v>
      </c>
      <c r="Y416" s="4" cm="1">
        <f t="array" ref="Y416">_xlfn.IFNA(INDEX(end!K:K,MATCH(1, (all_inputs!A416=end!A:A)*(all_inputs!J416=end!C:C),0)),"")</f>
        <v>0</v>
      </c>
      <c r="Z416" s="4" cm="1">
        <f t="array" ref="Z416">_xlfn.IFNA(INDEX(end!L:L,MATCH(1, (all_inputs!A416=end!A:A)*(all_inputs!J416=end!C:C),0)),"")</f>
        <v>0</v>
      </c>
      <c r="AA416" t="b">
        <f>VLOOKUP(A416,ui!A$37:B$52,2,FALSE)</f>
        <v>0</v>
      </c>
    </row>
    <row r="417" spans="1:27" x14ac:dyDescent="0.25">
      <c r="A417" t="s">
        <v>23</v>
      </c>
      <c r="B417" s="40">
        <f>IF(COUNTIF(dropdown!B$2:B$12,all_inputs!A417)=1,1,IF(COUNTIF(dropdown!C$2:C$4,all_inputs!A417)=1,2,IF(COUNTIF(dropdown!D$2:D$3,all_inputs!A417)=1,3,"?")))</f>
        <v>1</v>
      </c>
      <c r="C417" t="s">
        <v>14</v>
      </c>
      <c r="D417" t="s">
        <v>466</v>
      </c>
      <c r="E417" t="s">
        <v>440</v>
      </c>
      <c r="F417">
        <f>RR!C7</f>
        <v>1</v>
      </c>
      <c r="G417" s="4">
        <f>ui!B$4</f>
        <v>2025</v>
      </c>
      <c r="H417" s="4">
        <f>ui!B$5</f>
        <v>2050</v>
      </c>
      <c r="I417" s="4" t="s">
        <v>93</v>
      </c>
      <c r="J417" s="4" t="str">
        <f>VLOOKUP(ui!B$2,dropdown!M:O,3,FALSE)</f>
        <v>LIC</v>
      </c>
      <c r="K417" s="4" cm="1">
        <f t="array" ref="K417">INDEX(begin!E:E,MATCH(1, (all_inputs!A417=begin!A:A)*(all_inputs!J417=begin!C:C),0))</f>
        <v>0</v>
      </c>
      <c r="L417" s="4" cm="1">
        <f t="array" ref="L417">INDEX(begin!F:F,MATCH(1, (all_inputs!A417=begin!A:A)*(all_inputs!J417=begin!C:C),0))</f>
        <v>0.05</v>
      </c>
      <c r="M417" s="4" cm="1">
        <f t="array" ref="M417">INDEX(begin!G:G,MATCH(1, (all_inputs!A417=begin!A:A)*(all_inputs!J417=begin!C:C),0))</f>
        <v>4.5000000000000005E-2</v>
      </c>
      <c r="N417" s="4">
        <f>VLOOKUP(A417,ui!A$37:C$52,3,FALSE)</f>
        <v>4.5000000000000005E-2</v>
      </c>
      <c r="O417" s="4" cm="1">
        <f t="array" ref="O417">INDEX(end!E:E,MATCH(1, (all_inputs!A417=end!A:A)*(all_inputs!J417=end!C:C),0))</f>
        <v>0</v>
      </c>
      <c r="P417" s="4" cm="1">
        <f t="array" ref="P417">INDEX(end!F:F,MATCH(1, (all_inputs!A417=end!A:A)*(all_inputs!J417=end!C:C),0))</f>
        <v>0.8</v>
      </c>
      <c r="Q417" s="4" cm="1">
        <f t="array" ref="Q417">INDEX(end!G:G,MATCH(1, (all_inputs!A417=end!A:A)*(all_inputs!J417=end!C:C),0))</f>
        <v>0.72000000000000008</v>
      </c>
      <c r="R417" s="4">
        <f>VLOOKUP(A417,ui!A$37:G$52,4,FALSE)</f>
        <v>4.0500000000000008E-2</v>
      </c>
      <c r="S417" s="4" cm="1">
        <f t="array" ref="S417">INDEX(begin!I:I,MATCH(1, (all_inputs!A417=begin!A:A)*(all_inputs!J417=begin!C:C),0))</f>
        <v>0</v>
      </c>
      <c r="T417" s="4" cm="1">
        <f t="array" ref="T417">INDEX(begin!J:J,MATCH(1, (all_inputs!A417=begin!A:A)*(all_inputs!J417=begin!C:C),0))</f>
        <v>1</v>
      </c>
      <c r="U417" s="4" cm="1">
        <f t="array" ref="U417">INDEX(begin!K:K,MATCH(1, (all_inputs!A417=begin!A:A)*(all_inputs!J417=begin!C:C),0))</f>
        <v>0</v>
      </c>
      <c r="V417" s="4" cm="1">
        <f t="array" ref="V417">INDEX(begin!L:L,MATCH(1, (all_inputs!A417=begin!A:A)*(all_inputs!J417=begin!C:C),0))</f>
        <v>0</v>
      </c>
      <c r="W417" s="4" cm="1">
        <f t="array" ref="W417">_xlfn.IFNA(INDEX(end!I:I,MATCH(1, (all_inputs!A417=end!A:A)*(all_inputs!J417=end!C:C),0)),"")</f>
        <v>0</v>
      </c>
      <c r="X417" s="4" cm="1">
        <f t="array" ref="X417">_xlfn.IFNA(INDEX(end!J:J,MATCH(1, (all_inputs!A417=end!A:A)*(all_inputs!J417=end!C:C),0)),"")</f>
        <v>1</v>
      </c>
      <c r="Y417" s="4" cm="1">
        <f t="array" ref="Y417">_xlfn.IFNA(INDEX(end!K:K,MATCH(1, (all_inputs!A417=end!A:A)*(all_inputs!J417=end!C:C),0)),"")</f>
        <v>0</v>
      </c>
      <c r="Z417" s="4" cm="1">
        <f t="array" ref="Z417">_xlfn.IFNA(INDEX(end!L:L,MATCH(1, (all_inputs!A417=end!A:A)*(all_inputs!J417=end!C:C),0)),"")</f>
        <v>0</v>
      </c>
      <c r="AA417" t="b">
        <f>VLOOKUP(A417,ui!A$37:B$52,2,FALSE)</f>
        <v>0</v>
      </c>
    </row>
    <row r="418" spans="1:27" x14ac:dyDescent="0.25">
      <c r="A418" t="s">
        <v>23</v>
      </c>
      <c r="B418" s="40">
        <f>IF(COUNTIF(dropdown!B$2:B$12,all_inputs!A418)=1,1,IF(COUNTIF(dropdown!C$2:C$4,all_inputs!A418)=1,2,IF(COUNTIF(dropdown!D$2:D$3,all_inputs!A418)=1,3,"?")))</f>
        <v>1</v>
      </c>
      <c r="C418" t="s">
        <v>15</v>
      </c>
      <c r="D418" t="s">
        <v>466</v>
      </c>
      <c r="E418" t="s">
        <v>440</v>
      </c>
      <c r="F418" s="4">
        <v>1</v>
      </c>
      <c r="G418" s="4">
        <f>ui!B$4</f>
        <v>2025</v>
      </c>
      <c r="H418" s="4">
        <f>ui!B$5</f>
        <v>2050</v>
      </c>
      <c r="I418" s="4" t="s">
        <v>93</v>
      </c>
      <c r="J418" s="4" t="str">
        <f>VLOOKUP(ui!B$2,dropdown!M:O,3,FALSE)</f>
        <v>LIC</v>
      </c>
      <c r="K418" s="4" cm="1">
        <f t="array" ref="K418">INDEX(begin!E:E,MATCH(1, (all_inputs!A418=begin!A:A)*(all_inputs!J418=begin!C:C),0))</f>
        <v>0</v>
      </c>
      <c r="L418" s="4" cm="1">
        <f t="array" ref="L418">INDEX(begin!F:F,MATCH(1, (all_inputs!A418=begin!A:A)*(all_inputs!J418=begin!C:C),0))</f>
        <v>0.05</v>
      </c>
      <c r="M418" s="4" cm="1">
        <f t="array" ref="M418">INDEX(begin!G:G,MATCH(1, (all_inputs!A418=begin!A:A)*(all_inputs!J418=begin!C:C),0))</f>
        <v>4.5000000000000005E-2</v>
      </c>
      <c r="N418" s="4">
        <f>VLOOKUP(A418,ui!A$37:C$52,3,FALSE)</f>
        <v>4.5000000000000005E-2</v>
      </c>
      <c r="O418" s="4" cm="1">
        <f t="array" ref="O418">INDEX(end!E:E,MATCH(1, (all_inputs!A418=end!A:A)*(all_inputs!J418=end!C:C),0))</f>
        <v>0</v>
      </c>
      <c r="P418" s="4" cm="1">
        <f t="array" ref="P418">INDEX(end!F:F,MATCH(1, (all_inputs!A418=end!A:A)*(all_inputs!J418=end!C:C),0))</f>
        <v>0.8</v>
      </c>
      <c r="Q418" s="4" cm="1">
        <f t="array" ref="Q418">INDEX(end!G:G,MATCH(1, (all_inputs!A418=end!A:A)*(all_inputs!J418=end!C:C),0))</f>
        <v>0.72000000000000008</v>
      </c>
      <c r="R418" s="4">
        <f>VLOOKUP(A418,ui!A$37:G$52,4,FALSE)</f>
        <v>4.0500000000000008E-2</v>
      </c>
      <c r="S418" s="4" cm="1">
        <f t="array" ref="S418">INDEX(begin!I:I,MATCH(1, (all_inputs!A418=begin!A:A)*(all_inputs!J418=begin!C:C),0))</f>
        <v>0</v>
      </c>
      <c r="T418" s="4" cm="1">
        <f t="array" ref="T418">INDEX(begin!J:J,MATCH(1, (all_inputs!A418=begin!A:A)*(all_inputs!J418=begin!C:C),0))</f>
        <v>1</v>
      </c>
      <c r="U418" s="4" cm="1">
        <f t="array" ref="U418">INDEX(begin!K:K,MATCH(1, (all_inputs!A418=begin!A:A)*(all_inputs!J418=begin!C:C),0))</f>
        <v>0</v>
      </c>
      <c r="V418" s="4" cm="1">
        <f t="array" ref="V418">INDEX(begin!L:L,MATCH(1, (all_inputs!A418=begin!A:A)*(all_inputs!J418=begin!C:C),0))</f>
        <v>0</v>
      </c>
      <c r="W418" s="4" cm="1">
        <f t="array" ref="W418">_xlfn.IFNA(INDEX(end!I:I,MATCH(1, (all_inputs!A418=end!A:A)*(all_inputs!J418=end!C:C),0)),"")</f>
        <v>0</v>
      </c>
      <c r="X418" s="4" cm="1">
        <f t="array" ref="X418">_xlfn.IFNA(INDEX(end!J:J,MATCH(1, (all_inputs!A418=end!A:A)*(all_inputs!J418=end!C:C),0)),"")</f>
        <v>1</v>
      </c>
      <c r="Y418" s="4" cm="1">
        <f t="array" ref="Y418">_xlfn.IFNA(INDEX(end!K:K,MATCH(1, (all_inputs!A418=end!A:A)*(all_inputs!J418=end!C:C),0)),"")</f>
        <v>0</v>
      </c>
      <c r="Z418" s="4" cm="1">
        <f t="array" ref="Z418">_xlfn.IFNA(INDEX(end!L:L,MATCH(1, (all_inputs!A418=end!A:A)*(all_inputs!J418=end!C:C),0)),"")</f>
        <v>0</v>
      </c>
      <c r="AA418" t="b">
        <f>VLOOKUP(A418,ui!A$37:B$52,2,FALSE)</f>
        <v>0</v>
      </c>
    </row>
    <row r="419" spans="1:27" x14ac:dyDescent="0.25">
      <c r="A419" t="s">
        <v>23</v>
      </c>
      <c r="B419" s="40">
        <f>IF(COUNTIF(dropdown!B$2:B$12,all_inputs!A419)=1,1,IF(COUNTIF(dropdown!C$2:C$4,all_inputs!A419)=1,2,IF(COUNTIF(dropdown!D$2:D$3,all_inputs!A419)=1,3,"?")))</f>
        <v>1</v>
      </c>
      <c r="C419" t="s">
        <v>16</v>
      </c>
      <c r="D419" t="s">
        <v>467</v>
      </c>
      <c r="E419" t="s">
        <v>440</v>
      </c>
      <c r="F419" s="4">
        <v>1</v>
      </c>
      <c r="G419" s="4">
        <f>ui!B$4</f>
        <v>2025</v>
      </c>
      <c r="H419" s="4">
        <f>ui!B$5</f>
        <v>2050</v>
      </c>
      <c r="I419" s="4" t="s">
        <v>93</v>
      </c>
      <c r="J419" s="4" t="str">
        <f>VLOOKUP(ui!B$2,dropdown!M:O,3,FALSE)</f>
        <v>LIC</v>
      </c>
      <c r="K419" s="4" cm="1">
        <f t="array" ref="K419">INDEX(begin!E:E,MATCH(1, (all_inputs!A419=begin!A:A)*(all_inputs!J419=begin!C:C),0))</f>
        <v>0</v>
      </c>
      <c r="L419" s="4" cm="1">
        <f t="array" ref="L419">INDEX(begin!F:F,MATCH(1, (all_inputs!A419=begin!A:A)*(all_inputs!J419=begin!C:C),0))</f>
        <v>0.05</v>
      </c>
      <c r="M419" s="4" cm="1">
        <f t="array" ref="M419">INDEX(begin!G:G,MATCH(1, (all_inputs!A419=begin!A:A)*(all_inputs!J419=begin!C:C),0))</f>
        <v>4.5000000000000005E-2</v>
      </c>
      <c r="N419" s="4">
        <f>VLOOKUP(A419,ui!A$37:C$52,3,FALSE)</f>
        <v>4.5000000000000005E-2</v>
      </c>
      <c r="O419" s="4" cm="1">
        <f t="array" ref="O419">INDEX(end!E:E,MATCH(1, (all_inputs!A419=end!A:A)*(all_inputs!J419=end!C:C),0))</f>
        <v>0</v>
      </c>
      <c r="P419" s="4" cm="1">
        <f t="array" ref="P419">INDEX(end!F:F,MATCH(1, (all_inputs!A419=end!A:A)*(all_inputs!J419=end!C:C),0))</f>
        <v>0.8</v>
      </c>
      <c r="Q419" s="4" cm="1">
        <f t="array" ref="Q419">INDEX(end!G:G,MATCH(1, (all_inputs!A419=end!A:A)*(all_inputs!J419=end!C:C),0))</f>
        <v>0.72000000000000008</v>
      </c>
      <c r="R419" s="4">
        <f>VLOOKUP(A419,ui!A$37:G$52,4,FALSE)</f>
        <v>4.0500000000000008E-2</v>
      </c>
      <c r="S419" s="4" cm="1">
        <f t="array" ref="S419">INDEX(begin!I:I,MATCH(1, (all_inputs!A419=begin!A:A)*(all_inputs!J419=begin!C:C),0))</f>
        <v>0</v>
      </c>
      <c r="T419" s="4" cm="1">
        <f t="array" ref="T419">INDEX(begin!J:J,MATCH(1, (all_inputs!A419=begin!A:A)*(all_inputs!J419=begin!C:C),0))</f>
        <v>1</v>
      </c>
      <c r="U419" s="4" cm="1">
        <f t="array" ref="U419">INDEX(begin!K:K,MATCH(1, (all_inputs!A419=begin!A:A)*(all_inputs!J419=begin!C:C),0))</f>
        <v>0</v>
      </c>
      <c r="V419" s="4" cm="1">
        <f t="array" ref="V419">INDEX(begin!L:L,MATCH(1, (all_inputs!A419=begin!A:A)*(all_inputs!J419=begin!C:C),0))</f>
        <v>0</v>
      </c>
      <c r="W419" s="4" cm="1">
        <f t="array" ref="W419">_xlfn.IFNA(INDEX(end!I:I,MATCH(1, (all_inputs!A419=end!A:A)*(all_inputs!J419=end!C:C),0)),"")</f>
        <v>0</v>
      </c>
      <c r="X419" s="4" cm="1">
        <f t="array" ref="X419">_xlfn.IFNA(INDEX(end!J:J,MATCH(1, (all_inputs!A419=end!A:A)*(all_inputs!J419=end!C:C),0)),"")</f>
        <v>1</v>
      </c>
      <c r="Y419" s="4" cm="1">
        <f t="array" ref="Y419">_xlfn.IFNA(INDEX(end!K:K,MATCH(1, (all_inputs!A419=end!A:A)*(all_inputs!J419=end!C:C),0)),"")</f>
        <v>0</v>
      </c>
      <c r="Z419" s="4" cm="1">
        <f t="array" ref="Z419">_xlfn.IFNA(INDEX(end!L:L,MATCH(1, (all_inputs!A419=end!A:A)*(all_inputs!J419=end!C:C),0)),"")</f>
        <v>0</v>
      </c>
      <c r="AA419" t="b">
        <f>VLOOKUP(A419,ui!A$37:B$52,2,FALSE)</f>
        <v>0</v>
      </c>
    </row>
    <row r="420" spans="1:27" x14ac:dyDescent="0.25">
      <c r="A420" t="s">
        <v>23</v>
      </c>
      <c r="B420" s="40">
        <f>IF(COUNTIF(dropdown!B$2:B$12,all_inputs!A420)=1,1,IF(COUNTIF(dropdown!C$2:C$4,all_inputs!A420)=1,2,IF(COUNTIF(dropdown!D$2:D$3,all_inputs!A420)=1,3,"?")))</f>
        <v>1</v>
      </c>
      <c r="C420" t="s">
        <v>17</v>
      </c>
      <c r="D420" t="s">
        <v>468</v>
      </c>
      <c r="E420" t="s">
        <v>440</v>
      </c>
      <c r="F420" s="4">
        <v>1</v>
      </c>
      <c r="G420" s="4">
        <f>ui!B$4</f>
        <v>2025</v>
      </c>
      <c r="H420" s="4">
        <f>ui!B$5</f>
        <v>2050</v>
      </c>
      <c r="I420" s="4" t="s">
        <v>93</v>
      </c>
      <c r="J420" s="4" t="str">
        <f>VLOOKUP(ui!B$2,dropdown!M:O,3,FALSE)</f>
        <v>LIC</v>
      </c>
      <c r="K420" s="4" cm="1">
        <f t="array" ref="K420">INDEX(begin!E:E,MATCH(1, (all_inputs!A420=begin!A:A)*(all_inputs!J420=begin!C:C),0))</f>
        <v>0</v>
      </c>
      <c r="L420" s="4" cm="1">
        <f t="array" ref="L420">INDEX(begin!F:F,MATCH(1, (all_inputs!A420=begin!A:A)*(all_inputs!J420=begin!C:C),0))</f>
        <v>0.05</v>
      </c>
      <c r="M420" s="4" cm="1">
        <f t="array" ref="M420">INDEX(begin!G:G,MATCH(1, (all_inputs!A420=begin!A:A)*(all_inputs!J420=begin!C:C),0))</f>
        <v>4.5000000000000005E-2</v>
      </c>
      <c r="N420" s="4">
        <f>VLOOKUP(A420,ui!A$37:C$52,3,FALSE)</f>
        <v>4.5000000000000005E-2</v>
      </c>
      <c r="O420" s="4" cm="1">
        <f t="array" ref="O420">INDEX(end!E:E,MATCH(1, (all_inputs!A420=end!A:A)*(all_inputs!J420=end!C:C),0))</f>
        <v>0</v>
      </c>
      <c r="P420" s="4" cm="1">
        <f t="array" ref="P420">INDEX(end!F:F,MATCH(1, (all_inputs!A420=end!A:A)*(all_inputs!J420=end!C:C),0))</f>
        <v>0.8</v>
      </c>
      <c r="Q420" s="4" cm="1">
        <f t="array" ref="Q420">INDEX(end!G:G,MATCH(1, (all_inputs!A420=end!A:A)*(all_inputs!J420=end!C:C),0))</f>
        <v>0.72000000000000008</v>
      </c>
      <c r="R420" s="4">
        <f>VLOOKUP(A420,ui!A$37:G$52,4,FALSE)</f>
        <v>4.0500000000000008E-2</v>
      </c>
      <c r="S420" s="4" cm="1">
        <f t="array" ref="S420">INDEX(begin!I:I,MATCH(1, (all_inputs!A420=begin!A:A)*(all_inputs!J420=begin!C:C),0))</f>
        <v>0</v>
      </c>
      <c r="T420" s="4" cm="1">
        <f t="array" ref="T420">INDEX(begin!J:J,MATCH(1, (all_inputs!A420=begin!A:A)*(all_inputs!J420=begin!C:C),0))</f>
        <v>1</v>
      </c>
      <c r="U420" s="4" cm="1">
        <f t="array" ref="U420">INDEX(begin!K:K,MATCH(1, (all_inputs!A420=begin!A:A)*(all_inputs!J420=begin!C:C),0))</f>
        <v>0</v>
      </c>
      <c r="V420" s="4" cm="1">
        <f t="array" ref="V420">INDEX(begin!L:L,MATCH(1, (all_inputs!A420=begin!A:A)*(all_inputs!J420=begin!C:C),0))</f>
        <v>0</v>
      </c>
      <c r="W420" s="4" cm="1">
        <f t="array" ref="W420">_xlfn.IFNA(INDEX(end!I:I,MATCH(1, (all_inputs!A420=end!A:A)*(all_inputs!J420=end!C:C),0)),"")</f>
        <v>0</v>
      </c>
      <c r="X420" s="4" cm="1">
        <f t="array" ref="X420">_xlfn.IFNA(INDEX(end!J:J,MATCH(1, (all_inputs!A420=end!A:A)*(all_inputs!J420=end!C:C),0)),"")</f>
        <v>1</v>
      </c>
      <c r="Y420" s="4" cm="1">
        <f t="array" ref="Y420">_xlfn.IFNA(INDEX(end!K:K,MATCH(1, (all_inputs!A420=end!A:A)*(all_inputs!J420=end!C:C),0)),"")</f>
        <v>0</v>
      </c>
      <c r="Z420" s="4" cm="1">
        <f t="array" ref="Z420">_xlfn.IFNA(INDEX(end!L:L,MATCH(1, (all_inputs!A420=end!A:A)*(all_inputs!J420=end!C:C),0)),"")</f>
        <v>0</v>
      </c>
      <c r="AA420" t="b">
        <f>VLOOKUP(A420,ui!A$37:B$52,2,FALSE)</f>
        <v>0</v>
      </c>
    </row>
    <row r="421" spans="1:27" x14ac:dyDescent="0.25">
      <c r="A421" s="2" t="s">
        <v>23</v>
      </c>
      <c r="B421" s="41">
        <f>IF(COUNTIF(dropdown!B$2:B$12,all_inputs!A421)=1,1,IF(COUNTIF(dropdown!C$2:C$4,all_inputs!A421)=1,2,IF(COUNTIF(dropdown!D$2:D$3,all_inputs!A421)=1,3,"?")))</f>
        <v>1</v>
      </c>
      <c r="C421" s="2" t="s">
        <v>18</v>
      </c>
      <c r="D421" s="2" t="s">
        <v>469</v>
      </c>
      <c r="E421" s="2" t="s">
        <v>440</v>
      </c>
      <c r="F421" s="2">
        <f>RR!F7</f>
        <v>0.5</v>
      </c>
      <c r="G421" s="5">
        <f>ui!B$4</f>
        <v>2025</v>
      </c>
      <c r="H421" s="5">
        <f>ui!B$5</f>
        <v>2050</v>
      </c>
      <c r="I421" s="5" t="s">
        <v>93</v>
      </c>
      <c r="J421" s="5" t="str">
        <f>VLOOKUP(ui!B$2,dropdown!M:O,3,FALSE)</f>
        <v>LIC</v>
      </c>
      <c r="K421" s="5" cm="1">
        <f t="array" ref="K421">INDEX(begin!E:E,MATCH(1, (all_inputs!A421=begin!A:A)*(all_inputs!J421=begin!C:C),0))</f>
        <v>0</v>
      </c>
      <c r="L421" s="5" cm="1">
        <f t="array" ref="L421">INDEX(begin!F:F,MATCH(1, (all_inputs!A421=begin!A:A)*(all_inputs!J421=begin!C:C),0))</f>
        <v>0.05</v>
      </c>
      <c r="M421" s="5" cm="1">
        <f t="array" ref="M421">INDEX(begin!G:G,MATCH(1, (all_inputs!A421=begin!A:A)*(all_inputs!J421=begin!C:C),0))</f>
        <v>4.5000000000000005E-2</v>
      </c>
      <c r="N421" s="5">
        <f>VLOOKUP(A421,ui!A$37:C$52,3,FALSE)</f>
        <v>4.5000000000000005E-2</v>
      </c>
      <c r="O421" s="5" cm="1">
        <f t="array" ref="O421">INDEX(end!E:E,MATCH(1, (all_inputs!A421=end!A:A)*(all_inputs!J421=end!C:C),0))</f>
        <v>0</v>
      </c>
      <c r="P421" s="5" cm="1">
        <f t="array" ref="P421">INDEX(end!F:F,MATCH(1, (all_inputs!A421=end!A:A)*(all_inputs!J421=end!C:C),0))</f>
        <v>0.8</v>
      </c>
      <c r="Q421" s="5" cm="1">
        <f t="array" ref="Q421">INDEX(end!G:G,MATCH(1, (all_inputs!A421=end!A:A)*(all_inputs!J421=end!C:C),0))</f>
        <v>0.72000000000000008</v>
      </c>
      <c r="R421" s="5">
        <f>VLOOKUP(A421,ui!A$37:G$52,4,FALSE)</f>
        <v>4.0500000000000008E-2</v>
      </c>
      <c r="S421" s="5" cm="1">
        <f t="array" ref="S421">INDEX(begin!I:I,MATCH(1, (all_inputs!A421=begin!A:A)*(all_inputs!J421=begin!C:C),0))</f>
        <v>0</v>
      </c>
      <c r="T421" s="5" cm="1">
        <f t="array" ref="T421">INDEX(begin!J:J,MATCH(1, (all_inputs!A421=begin!A:A)*(all_inputs!J421=begin!C:C),0))</f>
        <v>1</v>
      </c>
      <c r="U421" s="5" cm="1">
        <f t="array" ref="U421">INDEX(begin!K:K,MATCH(1, (all_inputs!A421=begin!A:A)*(all_inputs!J421=begin!C:C),0))</f>
        <v>0</v>
      </c>
      <c r="V421" s="5" cm="1">
        <f t="array" ref="V421">INDEX(begin!L:L,MATCH(1, (all_inputs!A421=begin!A:A)*(all_inputs!J421=begin!C:C),0))</f>
        <v>0</v>
      </c>
      <c r="W421" s="5" cm="1">
        <f t="array" ref="W421">_xlfn.IFNA(INDEX(end!I:I,MATCH(1, (all_inputs!A421=end!A:A)*(all_inputs!J421=end!C:C),0)),"")</f>
        <v>0</v>
      </c>
      <c r="X421" s="5" cm="1">
        <f t="array" ref="X421">_xlfn.IFNA(INDEX(end!J:J,MATCH(1, (all_inputs!A421=end!A:A)*(all_inputs!J421=end!C:C),0)),"")</f>
        <v>1</v>
      </c>
      <c r="Y421" s="5" cm="1">
        <f t="array" ref="Y421">_xlfn.IFNA(INDEX(end!K:K,MATCH(1, (all_inputs!A421=end!A:A)*(all_inputs!J421=end!C:C),0)),"")</f>
        <v>0</v>
      </c>
      <c r="Z421" s="5" cm="1">
        <f t="array" ref="Z421">_xlfn.IFNA(INDEX(end!L:L,MATCH(1, (all_inputs!A421=end!A:A)*(all_inputs!J421=end!C:C),0)),"")</f>
        <v>0</v>
      </c>
      <c r="AA421" s="2" t="b">
        <f>VLOOKUP(A421,ui!A$37:B$52,2,FALSE)</f>
        <v>0</v>
      </c>
    </row>
    <row r="422" spans="1:27" x14ac:dyDescent="0.25">
      <c r="A422" t="s">
        <v>24</v>
      </c>
      <c r="B422" s="40">
        <f>IF(COUNTIF(dropdown!B$2:B$12,all_inputs!A422)=1,1,IF(COUNTIF(dropdown!C$2:C$4,all_inputs!A422)=1,2,IF(COUNTIF(dropdown!D$2:D$3,all_inputs!A422)=1,3,"?")))</f>
        <v>1</v>
      </c>
      <c r="C422" t="s">
        <v>13</v>
      </c>
      <c r="D422" t="s">
        <v>472</v>
      </c>
      <c r="E422" t="s">
        <v>440</v>
      </c>
      <c r="F422" s="4" cm="1">
        <f t="array" ref="F422">IF(B422&lt;&gt;3,1,_xlfn.IFNA(INDEX(#REF!,MATCH(1, (all_inputs!A422=#REF!)*(all_inputs!D422=#REF!),0)),1))</f>
        <v>1</v>
      </c>
      <c r="G422" s="4">
        <f>ui!B$4</f>
        <v>2025</v>
      </c>
      <c r="H422" s="4">
        <f>ui!B$5</f>
        <v>2050</v>
      </c>
      <c r="I422" s="4" t="s">
        <v>93</v>
      </c>
      <c r="J422" s="4" t="str">
        <f>VLOOKUP(ui!B$2,dropdown!M:O,3,FALSE)</f>
        <v>LIC</v>
      </c>
      <c r="K422" s="4" cm="1">
        <f t="array" ref="K422">INDEX(begin!E:E,MATCH(1, (all_inputs!A422=begin!A:A)*(all_inputs!J422=begin!C:C),0))</f>
        <v>0</v>
      </c>
      <c r="L422" s="4" cm="1">
        <f t="array" ref="L422">INDEX(begin!F:F,MATCH(1, (all_inputs!A422=begin!A:A)*(all_inputs!J422=begin!C:C),0))</f>
        <v>0.05</v>
      </c>
      <c r="M422" s="4" cm="1">
        <f t="array" ref="M422">INDEX(begin!G:G,MATCH(1, (all_inputs!A422=begin!A:A)*(all_inputs!J422=begin!C:C),0))</f>
        <v>4.5000000000000005E-2</v>
      </c>
      <c r="N422" s="4">
        <f>VLOOKUP(A422,ui!A$37:C$52,3,FALSE)</f>
        <v>4.5000000000000005E-2</v>
      </c>
      <c r="O422" s="4" cm="1">
        <f t="array" ref="O422">INDEX(end!E:E,MATCH(1, (all_inputs!A422=end!A:A)*(all_inputs!J422=end!C:C),0))</f>
        <v>0</v>
      </c>
      <c r="P422" s="4" cm="1">
        <f t="array" ref="P422">INDEX(end!F:F,MATCH(1, (all_inputs!A422=end!A:A)*(all_inputs!J422=end!C:C),0))</f>
        <v>0.8</v>
      </c>
      <c r="Q422" s="4" cm="1">
        <f t="array" ref="Q422">INDEX(end!G:G,MATCH(1, (all_inputs!A422=end!A:A)*(all_inputs!J422=end!C:C),0))</f>
        <v>0.72000000000000008</v>
      </c>
      <c r="R422" s="4">
        <f>VLOOKUP(A422,ui!A$37:G$52,4,FALSE)</f>
        <v>4.0500000000000008E-2</v>
      </c>
      <c r="S422" s="4" cm="1">
        <f t="array" ref="S422">INDEX(begin!I:I,MATCH(1, (all_inputs!A422=begin!A:A)*(all_inputs!J422=begin!C:C),0))</f>
        <v>0</v>
      </c>
      <c r="T422" s="4" cm="1">
        <f t="array" ref="T422">INDEX(begin!J:J,MATCH(1, (all_inputs!A422=begin!A:A)*(all_inputs!J422=begin!C:C),0))</f>
        <v>1</v>
      </c>
      <c r="U422" s="4" cm="1">
        <f t="array" ref="U422">INDEX(begin!K:K,MATCH(1, (all_inputs!A422=begin!A:A)*(all_inputs!J422=begin!C:C),0))</f>
        <v>0</v>
      </c>
      <c r="V422" s="4" cm="1">
        <f t="array" ref="V422">INDEX(begin!L:L,MATCH(1, (all_inputs!A422=begin!A:A)*(all_inputs!J422=begin!C:C),0))</f>
        <v>0</v>
      </c>
      <c r="W422" s="4" cm="1">
        <f t="array" ref="W422">_xlfn.IFNA(INDEX(end!I:I,MATCH(1, (all_inputs!A422=end!A:A)*(all_inputs!J422=end!C:C),0)),"")</f>
        <v>0</v>
      </c>
      <c r="X422" s="4" cm="1">
        <f t="array" ref="X422">_xlfn.IFNA(INDEX(end!J:J,MATCH(1, (all_inputs!A422=end!A:A)*(all_inputs!J422=end!C:C),0)),"")</f>
        <v>1</v>
      </c>
      <c r="Y422" s="4" cm="1">
        <f t="array" ref="Y422">_xlfn.IFNA(INDEX(end!K:K,MATCH(1, (all_inputs!A422=end!A:A)*(all_inputs!J422=end!C:C),0)),"")</f>
        <v>0</v>
      </c>
      <c r="Z422" s="4" cm="1">
        <f t="array" ref="Z422">_xlfn.IFNA(INDEX(end!L:L,MATCH(1, (all_inputs!A422=end!A:A)*(all_inputs!J422=end!C:C),0)),"")</f>
        <v>0</v>
      </c>
      <c r="AA422" t="b">
        <f>VLOOKUP(A422,ui!A$37:B$52,2,FALSE)</f>
        <v>1</v>
      </c>
    </row>
    <row r="423" spans="1:27" x14ac:dyDescent="0.25">
      <c r="A423" t="s">
        <v>24</v>
      </c>
      <c r="B423" s="40">
        <f>IF(COUNTIF(dropdown!B$2:B$12,all_inputs!A423)=1,1,IF(COUNTIF(dropdown!C$2:C$4,all_inputs!A423)=1,2,IF(COUNTIF(dropdown!D$2:D$3,all_inputs!A423)=1,3,"?")))</f>
        <v>1</v>
      </c>
      <c r="C423" t="s">
        <v>14</v>
      </c>
      <c r="D423" t="s">
        <v>466</v>
      </c>
      <c r="E423" t="s">
        <v>440</v>
      </c>
      <c r="F423">
        <f>RR!C8</f>
        <v>1</v>
      </c>
      <c r="G423" s="4">
        <f>ui!B$4</f>
        <v>2025</v>
      </c>
      <c r="H423" s="4">
        <f>ui!B$5</f>
        <v>2050</v>
      </c>
      <c r="I423" s="4" t="s">
        <v>93</v>
      </c>
      <c r="J423" s="4" t="str">
        <f>VLOOKUP(ui!B$2,dropdown!M:O,3,FALSE)</f>
        <v>LIC</v>
      </c>
      <c r="K423" s="4" cm="1">
        <f t="array" ref="K423">INDEX(begin!E:E,MATCH(1, (all_inputs!A423=begin!A:A)*(all_inputs!J423=begin!C:C),0))</f>
        <v>0</v>
      </c>
      <c r="L423" s="4" cm="1">
        <f t="array" ref="L423">INDEX(begin!F:F,MATCH(1, (all_inputs!A423=begin!A:A)*(all_inputs!J423=begin!C:C),0))</f>
        <v>0.05</v>
      </c>
      <c r="M423" s="4" cm="1">
        <f t="array" ref="M423">INDEX(begin!G:G,MATCH(1, (all_inputs!A423=begin!A:A)*(all_inputs!J423=begin!C:C),0))</f>
        <v>4.5000000000000005E-2</v>
      </c>
      <c r="N423" s="4">
        <f>VLOOKUP(A423,ui!A$37:C$52,3,FALSE)</f>
        <v>4.5000000000000005E-2</v>
      </c>
      <c r="O423" s="4" cm="1">
        <f t="array" ref="O423">INDEX(end!E:E,MATCH(1, (all_inputs!A423=end!A:A)*(all_inputs!J423=end!C:C),0))</f>
        <v>0</v>
      </c>
      <c r="P423" s="4" cm="1">
        <f t="array" ref="P423">INDEX(end!F:F,MATCH(1, (all_inputs!A423=end!A:A)*(all_inputs!J423=end!C:C),0))</f>
        <v>0.8</v>
      </c>
      <c r="Q423" s="4" cm="1">
        <f t="array" ref="Q423">INDEX(end!G:G,MATCH(1, (all_inputs!A423=end!A:A)*(all_inputs!J423=end!C:C),0))</f>
        <v>0.72000000000000008</v>
      </c>
      <c r="R423" s="4">
        <f>VLOOKUP(A423,ui!A$37:G$52,4,FALSE)</f>
        <v>4.0500000000000008E-2</v>
      </c>
      <c r="S423" s="4" cm="1">
        <f t="array" ref="S423">INDEX(begin!I:I,MATCH(1, (all_inputs!A423=begin!A:A)*(all_inputs!J423=begin!C:C),0))</f>
        <v>0</v>
      </c>
      <c r="T423" s="4" cm="1">
        <f t="array" ref="T423">INDEX(begin!J:J,MATCH(1, (all_inputs!A423=begin!A:A)*(all_inputs!J423=begin!C:C),0))</f>
        <v>1</v>
      </c>
      <c r="U423" s="4" cm="1">
        <f t="array" ref="U423">INDEX(begin!K:K,MATCH(1, (all_inputs!A423=begin!A:A)*(all_inputs!J423=begin!C:C),0))</f>
        <v>0</v>
      </c>
      <c r="V423" s="4" cm="1">
        <f t="array" ref="V423">INDEX(begin!L:L,MATCH(1, (all_inputs!A423=begin!A:A)*(all_inputs!J423=begin!C:C),0))</f>
        <v>0</v>
      </c>
      <c r="W423" s="4" cm="1">
        <f t="array" ref="W423">_xlfn.IFNA(INDEX(end!I:I,MATCH(1, (all_inputs!A423=end!A:A)*(all_inputs!J423=end!C:C),0)),"")</f>
        <v>0</v>
      </c>
      <c r="X423" s="4" cm="1">
        <f t="array" ref="X423">_xlfn.IFNA(INDEX(end!J:J,MATCH(1, (all_inputs!A423=end!A:A)*(all_inputs!J423=end!C:C),0)),"")</f>
        <v>1</v>
      </c>
      <c r="Y423" s="4" cm="1">
        <f t="array" ref="Y423">_xlfn.IFNA(INDEX(end!K:K,MATCH(1, (all_inputs!A423=end!A:A)*(all_inputs!J423=end!C:C),0)),"")</f>
        <v>0</v>
      </c>
      <c r="Z423" s="4" cm="1">
        <f t="array" ref="Z423">_xlfn.IFNA(INDEX(end!L:L,MATCH(1, (all_inputs!A423=end!A:A)*(all_inputs!J423=end!C:C),0)),"")</f>
        <v>0</v>
      </c>
      <c r="AA423" t="b">
        <f>VLOOKUP(A423,ui!A$37:B$52,2,FALSE)</f>
        <v>1</v>
      </c>
    </row>
    <row r="424" spans="1:27" x14ac:dyDescent="0.25">
      <c r="A424" t="s">
        <v>24</v>
      </c>
      <c r="B424" s="40">
        <f>IF(COUNTIF(dropdown!B$2:B$12,all_inputs!A424)=1,1,IF(COUNTIF(dropdown!C$2:C$4,all_inputs!A424)=1,2,IF(COUNTIF(dropdown!D$2:D$3,all_inputs!A424)=1,3,"?")))</f>
        <v>1</v>
      </c>
      <c r="C424" t="s">
        <v>15</v>
      </c>
      <c r="D424" t="s">
        <v>466</v>
      </c>
      <c r="E424" t="s">
        <v>440</v>
      </c>
      <c r="F424" s="4">
        <v>1</v>
      </c>
      <c r="G424" s="4">
        <f>ui!B$4</f>
        <v>2025</v>
      </c>
      <c r="H424" s="4">
        <f>ui!B$5</f>
        <v>2050</v>
      </c>
      <c r="I424" s="4" t="s">
        <v>93</v>
      </c>
      <c r="J424" s="4" t="str">
        <f>VLOOKUP(ui!B$2,dropdown!M:O,3,FALSE)</f>
        <v>LIC</v>
      </c>
      <c r="K424" s="4" cm="1">
        <f t="array" ref="K424">INDEX(begin!E:E,MATCH(1, (all_inputs!A424=begin!A:A)*(all_inputs!J424=begin!C:C),0))</f>
        <v>0</v>
      </c>
      <c r="L424" s="4" cm="1">
        <f t="array" ref="L424">INDEX(begin!F:F,MATCH(1, (all_inputs!A424=begin!A:A)*(all_inputs!J424=begin!C:C),0))</f>
        <v>0.05</v>
      </c>
      <c r="M424" s="4" cm="1">
        <f t="array" ref="M424">INDEX(begin!G:G,MATCH(1, (all_inputs!A424=begin!A:A)*(all_inputs!J424=begin!C:C),0))</f>
        <v>4.5000000000000005E-2</v>
      </c>
      <c r="N424" s="4">
        <f>VLOOKUP(A424,ui!A$37:C$52,3,FALSE)</f>
        <v>4.5000000000000005E-2</v>
      </c>
      <c r="O424" s="4" cm="1">
        <f t="array" ref="O424">INDEX(end!E:E,MATCH(1, (all_inputs!A424=end!A:A)*(all_inputs!J424=end!C:C),0))</f>
        <v>0</v>
      </c>
      <c r="P424" s="4" cm="1">
        <f t="array" ref="P424">INDEX(end!F:F,MATCH(1, (all_inputs!A424=end!A:A)*(all_inputs!J424=end!C:C),0))</f>
        <v>0.8</v>
      </c>
      <c r="Q424" s="4" cm="1">
        <f t="array" ref="Q424">INDEX(end!G:G,MATCH(1, (all_inputs!A424=end!A:A)*(all_inputs!J424=end!C:C),0))</f>
        <v>0.72000000000000008</v>
      </c>
      <c r="R424" s="4">
        <f>VLOOKUP(A424,ui!A$37:G$52,4,FALSE)</f>
        <v>4.0500000000000008E-2</v>
      </c>
      <c r="S424" s="4" cm="1">
        <f t="array" ref="S424">INDEX(begin!I:I,MATCH(1, (all_inputs!A424=begin!A:A)*(all_inputs!J424=begin!C:C),0))</f>
        <v>0</v>
      </c>
      <c r="T424" s="4" cm="1">
        <f t="array" ref="T424">INDEX(begin!J:J,MATCH(1, (all_inputs!A424=begin!A:A)*(all_inputs!J424=begin!C:C),0))</f>
        <v>1</v>
      </c>
      <c r="U424" s="4" cm="1">
        <f t="array" ref="U424">INDEX(begin!K:K,MATCH(1, (all_inputs!A424=begin!A:A)*(all_inputs!J424=begin!C:C),0))</f>
        <v>0</v>
      </c>
      <c r="V424" s="4" cm="1">
        <f t="array" ref="V424">INDEX(begin!L:L,MATCH(1, (all_inputs!A424=begin!A:A)*(all_inputs!J424=begin!C:C),0))</f>
        <v>0</v>
      </c>
      <c r="W424" s="4" cm="1">
        <f t="array" ref="W424">_xlfn.IFNA(INDEX(end!I:I,MATCH(1, (all_inputs!A424=end!A:A)*(all_inputs!J424=end!C:C),0)),"")</f>
        <v>0</v>
      </c>
      <c r="X424" s="4" cm="1">
        <f t="array" ref="X424">_xlfn.IFNA(INDEX(end!J:J,MATCH(1, (all_inputs!A424=end!A:A)*(all_inputs!J424=end!C:C),0)),"")</f>
        <v>1</v>
      </c>
      <c r="Y424" s="4" cm="1">
        <f t="array" ref="Y424">_xlfn.IFNA(INDEX(end!K:K,MATCH(1, (all_inputs!A424=end!A:A)*(all_inputs!J424=end!C:C),0)),"")</f>
        <v>0</v>
      </c>
      <c r="Z424" s="4" cm="1">
        <f t="array" ref="Z424">_xlfn.IFNA(INDEX(end!L:L,MATCH(1, (all_inputs!A424=end!A:A)*(all_inputs!J424=end!C:C),0)),"")</f>
        <v>0</v>
      </c>
      <c r="AA424" t="b">
        <f>VLOOKUP(A424,ui!A$37:B$52,2,FALSE)</f>
        <v>1</v>
      </c>
    </row>
    <row r="425" spans="1:27" x14ac:dyDescent="0.25">
      <c r="A425" t="s">
        <v>24</v>
      </c>
      <c r="B425" s="40">
        <f>IF(COUNTIF(dropdown!B$2:B$12,all_inputs!A425)=1,1,IF(COUNTIF(dropdown!C$2:C$4,all_inputs!A425)=1,2,IF(COUNTIF(dropdown!D$2:D$3,all_inputs!A425)=1,3,"?")))</f>
        <v>1</v>
      </c>
      <c r="C425" t="s">
        <v>16</v>
      </c>
      <c r="D425" t="s">
        <v>467</v>
      </c>
      <c r="E425" t="s">
        <v>440</v>
      </c>
      <c r="F425" s="4">
        <v>1</v>
      </c>
      <c r="G425" s="4">
        <f>ui!B$4</f>
        <v>2025</v>
      </c>
      <c r="H425" s="4">
        <f>ui!B$5</f>
        <v>2050</v>
      </c>
      <c r="I425" s="4" t="s">
        <v>93</v>
      </c>
      <c r="J425" s="4" t="str">
        <f>VLOOKUP(ui!B$2,dropdown!M:O,3,FALSE)</f>
        <v>LIC</v>
      </c>
      <c r="K425" s="4" cm="1">
        <f t="array" ref="K425">INDEX(begin!E:E,MATCH(1, (all_inputs!A425=begin!A:A)*(all_inputs!J425=begin!C:C),0))</f>
        <v>0</v>
      </c>
      <c r="L425" s="4" cm="1">
        <f t="array" ref="L425">INDEX(begin!F:F,MATCH(1, (all_inputs!A425=begin!A:A)*(all_inputs!J425=begin!C:C),0))</f>
        <v>0.05</v>
      </c>
      <c r="M425" s="4" cm="1">
        <f t="array" ref="M425">INDEX(begin!G:G,MATCH(1, (all_inputs!A425=begin!A:A)*(all_inputs!J425=begin!C:C),0))</f>
        <v>4.5000000000000005E-2</v>
      </c>
      <c r="N425" s="4">
        <f>VLOOKUP(A425,ui!A$37:C$52,3,FALSE)</f>
        <v>4.5000000000000005E-2</v>
      </c>
      <c r="O425" s="4" cm="1">
        <f t="array" ref="O425">INDEX(end!E:E,MATCH(1, (all_inputs!A425=end!A:A)*(all_inputs!J425=end!C:C),0))</f>
        <v>0</v>
      </c>
      <c r="P425" s="4" cm="1">
        <f t="array" ref="P425">INDEX(end!F:F,MATCH(1, (all_inputs!A425=end!A:A)*(all_inputs!J425=end!C:C),0))</f>
        <v>0.8</v>
      </c>
      <c r="Q425" s="4" cm="1">
        <f t="array" ref="Q425">INDEX(end!G:G,MATCH(1, (all_inputs!A425=end!A:A)*(all_inputs!J425=end!C:C),0))</f>
        <v>0.72000000000000008</v>
      </c>
      <c r="R425" s="4">
        <f>VLOOKUP(A425,ui!A$37:G$52,4,FALSE)</f>
        <v>4.0500000000000008E-2</v>
      </c>
      <c r="S425" s="4" cm="1">
        <f t="array" ref="S425">INDEX(begin!I:I,MATCH(1, (all_inputs!A425=begin!A:A)*(all_inputs!J425=begin!C:C),0))</f>
        <v>0</v>
      </c>
      <c r="T425" s="4" cm="1">
        <f t="array" ref="T425">INDEX(begin!J:J,MATCH(1, (all_inputs!A425=begin!A:A)*(all_inputs!J425=begin!C:C),0))</f>
        <v>1</v>
      </c>
      <c r="U425" s="4" cm="1">
        <f t="array" ref="U425">INDEX(begin!K:K,MATCH(1, (all_inputs!A425=begin!A:A)*(all_inputs!J425=begin!C:C),0))</f>
        <v>0</v>
      </c>
      <c r="V425" s="4" cm="1">
        <f t="array" ref="V425">INDEX(begin!L:L,MATCH(1, (all_inputs!A425=begin!A:A)*(all_inputs!J425=begin!C:C),0))</f>
        <v>0</v>
      </c>
      <c r="W425" s="4" cm="1">
        <f t="array" ref="W425">_xlfn.IFNA(INDEX(end!I:I,MATCH(1, (all_inputs!A425=end!A:A)*(all_inputs!J425=end!C:C),0)),"")</f>
        <v>0</v>
      </c>
      <c r="X425" s="4" cm="1">
        <f t="array" ref="X425">_xlfn.IFNA(INDEX(end!J:J,MATCH(1, (all_inputs!A425=end!A:A)*(all_inputs!J425=end!C:C),0)),"")</f>
        <v>1</v>
      </c>
      <c r="Y425" s="4" cm="1">
        <f t="array" ref="Y425">_xlfn.IFNA(INDEX(end!K:K,MATCH(1, (all_inputs!A425=end!A:A)*(all_inputs!J425=end!C:C),0)),"")</f>
        <v>0</v>
      </c>
      <c r="Z425" s="4" cm="1">
        <f t="array" ref="Z425">_xlfn.IFNA(INDEX(end!L:L,MATCH(1, (all_inputs!A425=end!A:A)*(all_inputs!J425=end!C:C),0)),"")</f>
        <v>0</v>
      </c>
      <c r="AA425" t="b">
        <f>VLOOKUP(A425,ui!A$37:B$52,2,FALSE)</f>
        <v>1</v>
      </c>
    </row>
    <row r="426" spans="1:27" x14ac:dyDescent="0.25">
      <c r="A426" t="s">
        <v>24</v>
      </c>
      <c r="B426" s="40">
        <f>IF(COUNTIF(dropdown!B$2:B$12,all_inputs!A426)=1,1,IF(COUNTIF(dropdown!C$2:C$4,all_inputs!A426)=1,2,IF(COUNTIF(dropdown!D$2:D$3,all_inputs!A426)=1,3,"?")))</f>
        <v>1</v>
      </c>
      <c r="C426" t="s">
        <v>17</v>
      </c>
      <c r="D426" t="s">
        <v>468</v>
      </c>
      <c r="E426" t="s">
        <v>440</v>
      </c>
      <c r="F426" s="4">
        <v>1</v>
      </c>
      <c r="G426" s="4">
        <f>ui!B$4</f>
        <v>2025</v>
      </c>
      <c r="H426" s="4">
        <f>ui!B$5</f>
        <v>2050</v>
      </c>
      <c r="I426" s="4" t="s">
        <v>93</v>
      </c>
      <c r="J426" s="4" t="str">
        <f>VLOOKUP(ui!B$2,dropdown!M:O,3,FALSE)</f>
        <v>LIC</v>
      </c>
      <c r="K426" s="4" cm="1">
        <f t="array" ref="K426">INDEX(begin!E:E,MATCH(1, (all_inputs!A426=begin!A:A)*(all_inputs!J426=begin!C:C),0))</f>
        <v>0</v>
      </c>
      <c r="L426" s="4" cm="1">
        <f t="array" ref="L426">INDEX(begin!F:F,MATCH(1, (all_inputs!A426=begin!A:A)*(all_inputs!J426=begin!C:C),0))</f>
        <v>0.05</v>
      </c>
      <c r="M426" s="4" cm="1">
        <f t="array" ref="M426">INDEX(begin!G:G,MATCH(1, (all_inputs!A426=begin!A:A)*(all_inputs!J426=begin!C:C),0))</f>
        <v>4.5000000000000005E-2</v>
      </c>
      <c r="N426" s="4">
        <f>VLOOKUP(A426,ui!A$37:C$52,3,FALSE)</f>
        <v>4.5000000000000005E-2</v>
      </c>
      <c r="O426" s="4" cm="1">
        <f t="array" ref="O426">INDEX(end!E:E,MATCH(1, (all_inputs!A426=end!A:A)*(all_inputs!J426=end!C:C),0))</f>
        <v>0</v>
      </c>
      <c r="P426" s="4" cm="1">
        <f t="array" ref="P426">INDEX(end!F:F,MATCH(1, (all_inputs!A426=end!A:A)*(all_inputs!J426=end!C:C),0))</f>
        <v>0.8</v>
      </c>
      <c r="Q426" s="4" cm="1">
        <f t="array" ref="Q426">INDEX(end!G:G,MATCH(1, (all_inputs!A426=end!A:A)*(all_inputs!J426=end!C:C),0))</f>
        <v>0.72000000000000008</v>
      </c>
      <c r="R426" s="4">
        <f>VLOOKUP(A426,ui!A$37:G$52,4,FALSE)</f>
        <v>4.0500000000000008E-2</v>
      </c>
      <c r="S426" s="4" cm="1">
        <f t="array" ref="S426">INDEX(begin!I:I,MATCH(1, (all_inputs!A426=begin!A:A)*(all_inputs!J426=begin!C:C),0))</f>
        <v>0</v>
      </c>
      <c r="T426" s="4" cm="1">
        <f t="array" ref="T426">INDEX(begin!J:J,MATCH(1, (all_inputs!A426=begin!A:A)*(all_inputs!J426=begin!C:C),0))</f>
        <v>1</v>
      </c>
      <c r="U426" s="4" cm="1">
        <f t="array" ref="U426">INDEX(begin!K:K,MATCH(1, (all_inputs!A426=begin!A:A)*(all_inputs!J426=begin!C:C),0))</f>
        <v>0</v>
      </c>
      <c r="V426" s="4" cm="1">
        <f t="array" ref="V426">INDEX(begin!L:L,MATCH(1, (all_inputs!A426=begin!A:A)*(all_inputs!J426=begin!C:C),0))</f>
        <v>0</v>
      </c>
      <c r="W426" s="4" cm="1">
        <f t="array" ref="W426">_xlfn.IFNA(INDEX(end!I:I,MATCH(1, (all_inputs!A426=end!A:A)*(all_inputs!J426=end!C:C),0)),"")</f>
        <v>0</v>
      </c>
      <c r="X426" s="4" cm="1">
        <f t="array" ref="X426">_xlfn.IFNA(INDEX(end!J:J,MATCH(1, (all_inputs!A426=end!A:A)*(all_inputs!J426=end!C:C),0)),"")</f>
        <v>1</v>
      </c>
      <c r="Y426" s="4" cm="1">
        <f t="array" ref="Y426">_xlfn.IFNA(INDEX(end!K:K,MATCH(1, (all_inputs!A426=end!A:A)*(all_inputs!J426=end!C:C),0)),"")</f>
        <v>0</v>
      </c>
      <c r="Z426" s="4" cm="1">
        <f t="array" ref="Z426">_xlfn.IFNA(INDEX(end!L:L,MATCH(1, (all_inputs!A426=end!A:A)*(all_inputs!J426=end!C:C),0)),"")</f>
        <v>0</v>
      </c>
      <c r="AA426" t="b">
        <f>VLOOKUP(A426,ui!A$37:B$52,2,FALSE)</f>
        <v>1</v>
      </c>
    </row>
    <row r="427" spans="1:27" x14ac:dyDescent="0.25">
      <c r="A427" s="2" t="s">
        <v>24</v>
      </c>
      <c r="B427" s="41">
        <f>IF(COUNTIF(dropdown!B$2:B$12,all_inputs!A427)=1,1,IF(COUNTIF(dropdown!C$2:C$4,all_inputs!A427)=1,2,IF(COUNTIF(dropdown!D$2:D$3,all_inputs!A427)=1,3,"?")))</f>
        <v>1</v>
      </c>
      <c r="C427" s="2" t="s">
        <v>18</v>
      </c>
      <c r="D427" s="2" t="s">
        <v>469</v>
      </c>
      <c r="E427" s="2" t="s">
        <v>440</v>
      </c>
      <c r="F427" s="2">
        <f>RR!F8</f>
        <v>0.8</v>
      </c>
      <c r="G427" s="5">
        <f>ui!B$4</f>
        <v>2025</v>
      </c>
      <c r="H427" s="5">
        <f>ui!B$5</f>
        <v>2050</v>
      </c>
      <c r="I427" s="5" t="s">
        <v>93</v>
      </c>
      <c r="J427" s="5" t="str">
        <f>VLOOKUP(ui!B$2,dropdown!M:O,3,FALSE)</f>
        <v>LIC</v>
      </c>
      <c r="K427" s="5" cm="1">
        <f t="array" ref="K427">INDEX(begin!E:E,MATCH(1, (all_inputs!A427=begin!A:A)*(all_inputs!J427=begin!C:C),0))</f>
        <v>0</v>
      </c>
      <c r="L427" s="5" cm="1">
        <f t="array" ref="L427">INDEX(begin!F:F,MATCH(1, (all_inputs!A427=begin!A:A)*(all_inputs!J427=begin!C:C),0))</f>
        <v>0.05</v>
      </c>
      <c r="M427" s="5" cm="1">
        <f t="array" ref="M427">INDEX(begin!G:G,MATCH(1, (all_inputs!A427=begin!A:A)*(all_inputs!J427=begin!C:C),0))</f>
        <v>4.5000000000000005E-2</v>
      </c>
      <c r="N427" s="5">
        <f>VLOOKUP(A427,ui!A$37:C$52,3,FALSE)</f>
        <v>4.5000000000000005E-2</v>
      </c>
      <c r="O427" s="5" cm="1">
        <f t="array" ref="O427">INDEX(end!E:E,MATCH(1, (all_inputs!A427=end!A:A)*(all_inputs!J427=end!C:C),0))</f>
        <v>0</v>
      </c>
      <c r="P427" s="5" cm="1">
        <f t="array" ref="P427">INDEX(end!F:F,MATCH(1, (all_inputs!A427=end!A:A)*(all_inputs!J427=end!C:C),0))</f>
        <v>0.8</v>
      </c>
      <c r="Q427" s="5" cm="1">
        <f t="array" ref="Q427">INDEX(end!G:G,MATCH(1, (all_inputs!A427=end!A:A)*(all_inputs!J427=end!C:C),0))</f>
        <v>0.72000000000000008</v>
      </c>
      <c r="R427" s="5">
        <f>VLOOKUP(A427,ui!A$37:G$52,4,FALSE)</f>
        <v>4.0500000000000008E-2</v>
      </c>
      <c r="S427" s="5" cm="1">
        <f t="array" ref="S427">INDEX(begin!I:I,MATCH(1, (all_inputs!A427=begin!A:A)*(all_inputs!J427=begin!C:C),0))</f>
        <v>0</v>
      </c>
      <c r="T427" s="5" cm="1">
        <f t="array" ref="T427">INDEX(begin!J:J,MATCH(1, (all_inputs!A427=begin!A:A)*(all_inputs!J427=begin!C:C),0))</f>
        <v>1</v>
      </c>
      <c r="U427" s="5" cm="1">
        <f t="array" ref="U427">INDEX(begin!K:K,MATCH(1, (all_inputs!A427=begin!A:A)*(all_inputs!J427=begin!C:C),0))</f>
        <v>0</v>
      </c>
      <c r="V427" s="5" cm="1">
        <f t="array" ref="V427">INDEX(begin!L:L,MATCH(1, (all_inputs!A427=begin!A:A)*(all_inputs!J427=begin!C:C),0))</f>
        <v>0</v>
      </c>
      <c r="W427" s="5" cm="1">
        <f t="array" ref="W427">_xlfn.IFNA(INDEX(end!I:I,MATCH(1, (all_inputs!A427=end!A:A)*(all_inputs!J427=end!C:C),0)),"")</f>
        <v>0</v>
      </c>
      <c r="X427" s="5" cm="1">
        <f t="array" ref="X427">_xlfn.IFNA(INDEX(end!J:J,MATCH(1, (all_inputs!A427=end!A:A)*(all_inputs!J427=end!C:C),0)),"")</f>
        <v>1</v>
      </c>
      <c r="Y427" s="5" cm="1">
        <f t="array" ref="Y427">_xlfn.IFNA(INDEX(end!K:K,MATCH(1, (all_inputs!A427=end!A:A)*(all_inputs!J427=end!C:C),0)),"")</f>
        <v>0</v>
      </c>
      <c r="Z427" s="5" cm="1">
        <f t="array" ref="Z427">_xlfn.IFNA(INDEX(end!L:L,MATCH(1, (all_inputs!A427=end!A:A)*(all_inputs!J427=end!C:C),0)),"")</f>
        <v>0</v>
      </c>
      <c r="AA427" s="2" t="b">
        <f>VLOOKUP(A427,ui!A$37:B$52,2,FALSE)</f>
        <v>1</v>
      </c>
    </row>
    <row r="428" spans="1:27" x14ac:dyDescent="0.25">
      <c r="A428" t="s">
        <v>25</v>
      </c>
      <c r="B428" s="40">
        <f>IF(COUNTIF(dropdown!B$2:B$12,all_inputs!A428)=1,1,IF(COUNTIF(dropdown!C$2:C$4,all_inputs!A428)=1,2,IF(COUNTIF(dropdown!D$2:D$3,all_inputs!A428)=1,3,"?")))</f>
        <v>1</v>
      </c>
      <c r="C428" t="s">
        <v>13</v>
      </c>
      <c r="D428" t="s">
        <v>472</v>
      </c>
      <c r="E428" t="s">
        <v>440</v>
      </c>
      <c r="F428" s="4" cm="1">
        <f t="array" ref="F428">IF(B428&lt;&gt;3,1,_xlfn.IFNA(INDEX(#REF!,MATCH(1, (all_inputs!A428=#REF!)*(all_inputs!D428=#REF!),0)),1))</f>
        <v>1</v>
      </c>
      <c r="G428" s="4">
        <f>ui!B$4</f>
        <v>2025</v>
      </c>
      <c r="H428" s="4">
        <f>ui!B$5</f>
        <v>2050</v>
      </c>
      <c r="I428" s="4" t="s">
        <v>93</v>
      </c>
      <c r="J428" s="4" t="str">
        <f>VLOOKUP(ui!B$2,dropdown!M:O,3,FALSE)</f>
        <v>LIC</v>
      </c>
      <c r="K428" s="4" cm="1">
        <f t="array" ref="K428">INDEX(begin!E:E,MATCH(1, (all_inputs!A428=begin!A:A)*(all_inputs!J428=begin!C:C),0))</f>
        <v>0</v>
      </c>
      <c r="L428" s="4" cm="1">
        <f t="array" ref="L428">INDEX(begin!F:F,MATCH(1, (all_inputs!A428=begin!A:A)*(all_inputs!J428=begin!C:C),0))</f>
        <v>0.05</v>
      </c>
      <c r="M428" s="4" cm="1">
        <f t="array" ref="M428">INDEX(begin!G:G,MATCH(1, (all_inputs!A428=begin!A:A)*(all_inputs!J428=begin!C:C),0))</f>
        <v>4.5000000000000005E-2</v>
      </c>
      <c r="N428" s="4">
        <f>VLOOKUP(A428,ui!A$37:C$52,3,FALSE)</f>
        <v>4.5000000000000005E-2</v>
      </c>
      <c r="O428" s="4" cm="1">
        <f t="array" ref="O428">INDEX(end!E:E,MATCH(1, (all_inputs!A428=end!A:A)*(all_inputs!J428=end!C:C),0))</f>
        <v>0</v>
      </c>
      <c r="P428" s="4" cm="1">
        <f t="array" ref="P428">INDEX(end!F:F,MATCH(1, (all_inputs!A428=end!A:A)*(all_inputs!J428=end!C:C),0))</f>
        <v>0.8</v>
      </c>
      <c r="Q428" s="4" cm="1">
        <f t="array" ref="Q428">INDEX(end!G:G,MATCH(1, (all_inputs!A428=end!A:A)*(all_inputs!J428=end!C:C),0))</f>
        <v>0.72000000000000008</v>
      </c>
      <c r="R428" s="4">
        <f>VLOOKUP(A428,ui!A$37:G$52,4,FALSE)</f>
        <v>4.0500000000000008E-2</v>
      </c>
      <c r="S428" s="4" cm="1">
        <f t="array" ref="S428">INDEX(begin!I:I,MATCH(1, (all_inputs!A428=begin!A:A)*(all_inputs!J428=begin!C:C),0))</f>
        <v>0</v>
      </c>
      <c r="T428" s="4" cm="1">
        <f t="array" ref="T428">INDEX(begin!J:J,MATCH(1, (all_inputs!A428=begin!A:A)*(all_inputs!J428=begin!C:C),0))</f>
        <v>1</v>
      </c>
      <c r="U428" s="4" cm="1">
        <f t="array" ref="U428">INDEX(begin!K:K,MATCH(1, (all_inputs!A428=begin!A:A)*(all_inputs!J428=begin!C:C),0))</f>
        <v>0</v>
      </c>
      <c r="V428" s="4" cm="1">
        <f t="array" ref="V428">INDEX(begin!L:L,MATCH(1, (all_inputs!A428=begin!A:A)*(all_inputs!J428=begin!C:C),0))</f>
        <v>0</v>
      </c>
      <c r="W428" s="4" cm="1">
        <f t="array" ref="W428">_xlfn.IFNA(INDEX(end!I:I,MATCH(1, (all_inputs!A428=end!A:A)*(all_inputs!J428=end!C:C),0)),"")</f>
        <v>0</v>
      </c>
      <c r="X428" s="4" cm="1">
        <f t="array" ref="X428">_xlfn.IFNA(INDEX(end!J:J,MATCH(1, (all_inputs!A428=end!A:A)*(all_inputs!J428=end!C:C),0)),"")</f>
        <v>1</v>
      </c>
      <c r="Y428" s="4" cm="1">
        <f t="array" ref="Y428">_xlfn.IFNA(INDEX(end!K:K,MATCH(1, (all_inputs!A428=end!A:A)*(all_inputs!J428=end!C:C),0)),"")</f>
        <v>0</v>
      </c>
      <c r="Z428" s="4" cm="1">
        <f t="array" ref="Z428">_xlfn.IFNA(INDEX(end!L:L,MATCH(1, (all_inputs!A428=end!A:A)*(all_inputs!J428=end!C:C),0)),"")</f>
        <v>0</v>
      </c>
      <c r="AA428" t="b">
        <f>VLOOKUP(A428,ui!A$37:B$52,2,FALSE)</f>
        <v>0</v>
      </c>
    </row>
    <row r="429" spans="1:27" x14ac:dyDescent="0.25">
      <c r="A429" t="s">
        <v>25</v>
      </c>
      <c r="B429" s="40">
        <f>IF(COUNTIF(dropdown!B$2:B$12,all_inputs!A429)=1,1,IF(COUNTIF(dropdown!C$2:C$4,all_inputs!A429)=1,2,IF(COUNTIF(dropdown!D$2:D$3,all_inputs!A429)=1,3,"?")))</f>
        <v>1</v>
      </c>
      <c r="C429" t="s">
        <v>14</v>
      </c>
      <c r="D429" t="s">
        <v>466</v>
      </c>
      <c r="E429" t="s">
        <v>440</v>
      </c>
      <c r="F429">
        <f>RR!C9</f>
        <v>1</v>
      </c>
      <c r="G429" s="4">
        <f>ui!B$4</f>
        <v>2025</v>
      </c>
      <c r="H429" s="4">
        <f>ui!B$5</f>
        <v>2050</v>
      </c>
      <c r="I429" s="4" t="s">
        <v>93</v>
      </c>
      <c r="J429" s="4" t="str">
        <f>VLOOKUP(ui!B$2,dropdown!M:O,3,FALSE)</f>
        <v>LIC</v>
      </c>
      <c r="K429" s="4" cm="1">
        <f t="array" ref="K429">INDEX(begin!E:E,MATCH(1, (all_inputs!A429=begin!A:A)*(all_inputs!J429=begin!C:C),0))</f>
        <v>0</v>
      </c>
      <c r="L429" s="4" cm="1">
        <f t="array" ref="L429">INDEX(begin!F:F,MATCH(1, (all_inputs!A429=begin!A:A)*(all_inputs!J429=begin!C:C),0))</f>
        <v>0.05</v>
      </c>
      <c r="M429" s="4" cm="1">
        <f t="array" ref="M429">INDEX(begin!G:G,MATCH(1, (all_inputs!A429=begin!A:A)*(all_inputs!J429=begin!C:C),0))</f>
        <v>4.5000000000000005E-2</v>
      </c>
      <c r="N429" s="4">
        <f>VLOOKUP(A429,ui!A$37:C$52,3,FALSE)</f>
        <v>4.5000000000000005E-2</v>
      </c>
      <c r="O429" s="4" cm="1">
        <f t="array" ref="O429">INDEX(end!E:E,MATCH(1, (all_inputs!A429=end!A:A)*(all_inputs!J429=end!C:C),0))</f>
        <v>0</v>
      </c>
      <c r="P429" s="4" cm="1">
        <f t="array" ref="P429">INDEX(end!F:F,MATCH(1, (all_inputs!A429=end!A:A)*(all_inputs!J429=end!C:C),0))</f>
        <v>0.8</v>
      </c>
      <c r="Q429" s="4" cm="1">
        <f t="array" ref="Q429">INDEX(end!G:G,MATCH(1, (all_inputs!A429=end!A:A)*(all_inputs!J429=end!C:C),0))</f>
        <v>0.72000000000000008</v>
      </c>
      <c r="R429" s="4">
        <f>VLOOKUP(A429,ui!A$37:G$52,4,FALSE)</f>
        <v>4.0500000000000008E-2</v>
      </c>
      <c r="S429" s="4" cm="1">
        <f t="array" ref="S429">INDEX(begin!I:I,MATCH(1, (all_inputs!A429=begin!A:A)*(all_inputs!J429=begin!C:C),0))</f>
        <v>0</v>
      </c>
      <c r="T429" s="4" cm="1">
        <f t="array" ref="T429">INDEX(begin!J:J,MATCH(1, (all_inputs!A429=begin!A:A)*(all_inputs!J429=begin!C:C),0))</f>
        <v>1</v>
      </c>
      <c r="U429" s="4" cm="1">
        <f t="array" ref="U429">INDEX(begin!K:K,MATCH(1, (all_inputs!A429=begin!A:A)*(all_inputs!J429=begin!C:C),0))</f>
        <v>0</v>
      </c>
      <c r="V429" s="4" cm="1">
        <f t="array" ref="V429">INDEX(begin!L:L,MATCH(1, (all_inputs!A429=begin!A:A)*(all_inputs!J429=begin!C:C),0))</f>
        <v>0</v>
      </c>
      <c r="W429" s="4" cm="1">
        <f t="array" ref="W429">_xlfn.IFNA(INDEX(end!I:I,MATCH(1, (all_inputs!A429=end!A:A)*(all_inputs!J429=end!C:C),0)),"")</f>
        <v>0</v>
      </c>
      <c r="X429" s="4" cm="1">
        <f t="array" ref="X429">_xlfn.IFNA(INDEX(end!J:J,MATCH(1, (all_inputs!A429=end!A:A)*(all_inputs!J429=end!C:C),0)),"")</f>
        <v>1</v>
      </c>
      <c r="Y429" s="4" cm="1">
        <f t="array" ref="Y429">_xlfn.IFNA(INDEX(end!K:K,MATCH(1, (all_inputs!A429=end!A:A)*(all_inputs!J429=end!C:C),0)),"")</f>
        <v>0</v>
      </c>
      <c r="Z429" s="4" cm="1">
        <f t="array" ref="Z429">_xlfn.IFNA(INDEX(end!L:L,MATCH(1, (all_inputs!A429=end!A:A)*(all_inputs!J429=end!C:C),0)),"")</f>
        <v>0</v>
      </c>
      <c r="AA429" t="b">
        <f>VLOOKUP(A429,ui!A$37:B$52,2,FALSE)</f>
        <v>0</v>
      </c>
    </row>
    <row r="430" spans="1:27" x14ac:dyDescent="0.25">
      <c r="A430" t="s">
        <v>25</v>
      </c>
      <c r="B430" s="40">
        <f>IF(COUNTIF(dropdown!B$2:B$12,all_inputs!A430)=1,1,IF(COUNTIF(dropdown!C$2:C$4,all_inputs!A430)=1,2,IF(COUNTIF(dropdown!D$2:D$3,all_inputs!A430)=1,3,"?")))</f>
        <v>1</v>
      </c>
      <c r="C430" t="s">
        <v>15</v>
      </c>
      <c r="D430" t="s">
        <v>466</v>
      </c>
      <c r="E430" t="s">
        <v>440</v>
      </c>
      <c r="F430" s="4">
        <v>1</v>
      </c>
      <c r="G430" s="4">
        <f>ui!B$4</f>
        <v>2025</v>
      </c>
      <c r="H430" s="4">
        <f>ui!B$5</f>
        <v>2050</v>
      </c>
      <c r="I430" s="4" t="s">
        <v>93</v>
      </c>
      <c r="J430" s="4" t="str">
        <f>VLOOKUP(ui!B$2,dropdown!M:O,3,FALSE)</f>
        <v>LIC</v>
      </c>
      <c r="K430" s="4" cm="1">
        <f t="array" ref="K430">INDEX(begin!E:E,MATCH(1, (all_inputs!A430=begin!A:A)*(all_inputs!J430=begin!C:C),0))</f>
        <v>0</v>
      </c>
      <c r="L430" s="4" cm="1">
        <f t="array" ref="L430">INDEX(begin!F:F,MATCH(1, (all_inputs!A430=begin!A:A)*(all_inputs!J430=begin!C:C),0))</f>
        <v>0.05</v>
      </c>
      <c r="M430" s="4" cm="1">
        <f t="array" ref="M430">INDEX(begin!G:G,MATCH(1, (all_inputs!A430=begin!A:A)*(all_inputs!J430=begin!C:C),0))</f>
        <v>4.5000000000000005E-2</v>
      </c>
      <c r="N430" s="4">
        <f>VLOOKUP(A430,ui!A$37:C$52,3,FALSE)</f>
        <v>4.5000000000000005E-2</v>
      </c>
      <c r="O430" s="4" cm="1">
        <f t="array" ref="O430">INDEX(end!E:E,MATCH(1, (all_inputs!A430=end!A:A)*(all_inputs!J430=end!C:C),0))</f>
        <v>0</v>
      </c>
      <c r="P430" s="4" cm="1">
        <f t="array" ref="P430">INDEX(end!F:F,MATCH(1, (all_inputs!A430=end!A:A)*(all_inputs!J430=end!C:C),0))</f>
        <v>0.8</v>
      </c>
      <c r="Q430" s="4" cm="1">
        <f t="array" ref="Q430">INDEX(end!G:G,MATCH(1, (all_inputs!A430=end!A:A)*(all_inputs!J430=end!C:C),0))</f>
        <v>0.72000000000000008</v>
      </c>
      <c r="R430" s="4">
        <f>VLOOKUP(A430,ui!A$37:G$52,4,FALSE)</f>
        <v>4.0500000000000008E-2</v>
      </c>
      <c r="S430" s="4" cm="1">
        <f t="array" ref="S430">INDEX(begin!I:I,MATCH(1, (all_inputs!A430=begin!A:A)*(all_inputs!J430=begin!C:C),0))</f>
        <v>0</v>
      </c>
      <c r="T430" s="4" cm="1">
        <f t="array" ref="T430">INDEX(begin!J:J,MATCH(1, (all_inputs!A430=begin!A:A)*(all_inputs!J430=begin!C:C),0))</f>
        <v>1</v>
      </c>
      <c r="U430" s="4" cm="1">
        <f t="array" ref="U430">INDEX(begin!K:K,MATCH(1, (all_inputs!A430=begin!A:A)*(all_inputs!J430=begin!C:C),0))</f>
        <v>0</v>
      </c>
      <c r="V430" s="4" cm="1">
        <f t="array" ref="V430">INDEX(begin!L:L,MATCH(1, (all_inputs!A430=begin!A:A)*(all_inputs!J430=begin!C:C),0))</f>
        <v>0</v>
      </c>
      <c r="W430" s="4" cm="1">
        <f t="array" ref="W430">_xlfn.IFNA(INDEX(end!I:I,MATCH(1, (all_inputs!A430=end!A:A)*(all_inputs!J430=end!C:C),0)),"")</f>
        <v>0</v>
      </c>
      <c r="X430" s="4" cm="1">
        <f t="array" ref="X430">_xlfn.IFNA(INDEX(end!J:J,MATCH(1, (all_inputs!A430=end!A:A)*(all_inputs!J430=end!C:C),0)),"")</f>
        <v>1</v>
      </c>
      <c r="Y430" s="4" cm="1">
        <f t="array" ref="Y430">_xlfn.IFNA(INDEX(end!K:K,MATCH(1, (all_inputs!A430=end!A:A)*(all_inputs!J430=end!C:C),0)),"")</f>
        <v>0</v>
      </c>
      <c r="Z430" s="4" cm="1">
        <f t="array" ref="Z430">_xlfn.IFNA(INDEX(end!L:L,MATCH(1, (all_inputs!A430=end!A:A)*(all_inputs!J430=end!C:C),0)),"")</f>
        <v>0</v>
      </c>
      <c r="AA430" t="b">
        <f>VLOOKUP(A430,ui!A$37:B$52,2,FALSE)</f>
        <v>0</v>
      </c>
    </row>
    <row r="431" spans="1:27" x14ac:dyDescent="0.25">
      <c r="A431" t="s">
        <v>25</v>
      </c>
      <c r="B431" s="40">
        <f>IF(COUNTIF(dropdown!B$2:B$12,all_inputs!A431)=1,1,IF(COUNTIF(dropdown!C$2:C$4,all_inputs!A431)=1,2,IF(COUNTIF(dropdown!D$2:D$3,all_inputs!A431)=1,3,"?")))</f>
        <v>1</v>
      </c>
      <c r="C431" t="s">
        <v>16</v>
      </c>
      <c r="D431" t="s">
        <v>467</v>
      </c>
      <c r="E431" t="s">
        <v>440</v>
      </c>
      <c r="F431" s="4">
        <v>1</v>
      </c>
      <c r="G431" s="4">
        <f>ui!B$4</f>
        <v>2025</v>
      </c>
      <c r="H431" s="4">
        <f>ui!B$5</f>
        <v>2050</v>
      </c>
      <c r="I431" s="4" t="s">
        <v>93</v>
      </c>
      <c r="J431" s="4" t="str">
        <f>VLOOKUP(ui!B$2,dropdown!M:O,3,FALSE)</f>
        <v>LIC</v>
      </c>
      <c r="K431" s="4" cm="1">
        <f t="array" ref="K431">INDEX(begin!E:E,MATCH(1, (all_inputs!A431=begin!A:A)*(all_inputs!J431=begin!C:C),0))</f>
        <v>0</v>
      </c>
      <c r="L431" s="4" cm="1">
        <f t="array" ref="L431">INDEX(begin!F:F,MATCH(1, (all_inputs!A431=begin!A:A)*(all_inputs!J431=begin!C:C),0))</f>
        <v>0.05</v>
      </c>
      <c r="M431" s="4" cm="1">
        <f t="array" ref="M431">INDEX(begin!G:G,MATCH(1, (all_inputs!A431=begin!A:A)*(all_inputs!J431=begin!C:C),0))</f>
        <v>4.5000000000000005E-2</v>
      </c>
      <c r="N431" s="4">
        <f>VLOOKUP(A431,ui!A$37:C$52,3,FALSE)</f>
        <v>4.5000000000000005E-2</v>
      </c>
      <c r="O431" s="4" cm="1">
        <f t="array" ref="O431">INDEX(end!E:E,MATCH(1, (all_inputs!A431=end!A:A)*(all_inputs!J431=end!C:C),0))</f>
        <v>0</v>
      </c>
      <c r="P431" s="4" cm="1">
        <f t="array" ref="P431">INDEX(end!F:F,MATCH(1, (all_inputs!A431=end!A:A)*(all_inputs!J431=end!C:C),0))</f>
        <v>0.8</v>
      </c>
      <c r="Q431" s="4" cm="1">
        <f t="array" ref="Q431">INDEX(end!G:G,MATCH(1, (all_inputs!A431=end!A:A)*(all_inputs!J431=end!C:C),0))</f>
        <v>0.72000000000000008</v>
      </c>
      <c r="R431" s="4">
        <f>VLOOKUP(A431,ui!A$37:G$52,4,FALSE)</f>
        <v>4.0500000000000008E-2</v>
      </c>
      <c r="S431" s="4" cm="1">
        <f t="array" ref="S431">INDEX(begin!I:I,MATCH(1, (all_inputs!A431=begin!A:A)*(all_inputs!J431=begin!C:C),0))</f>
        <v>0</v>
      </c>
      <c r="T431" s="4" cm="1">
        <f t="array" ref="T431">INDEX(begin!J:J,MATCH(1, (all_inputs!A431=begin!A:A)*(all_inputs!J431=begin!C:C),0))</f>
        <v>1</v>
      </c>
      <c r="U431" s="4" cm="1">
        <f t="array" ref="U431">INDEX(begin!K:K,MATCH(1, (all_inputs!A431=begin!A:A)*(all_inputs!J431=begin!C:C),0))</f>
        <v>0</v>
      </c>
      <c r="V431" s="4" cm="1">
        <f t="array" ref="V431">INDEX(begin!L:L,MATCH(1, (all_inputs!A431=begin!A:A)*(all_inputs!J431=begin!C:C),0))</f>
        <v>0</v>
      </c>
      <c r="W431" s="4" cm="1">
        <f t="array" ref="W431">_xlfn.IFNA(INDEX(end!I:I,MATCH(1, (all_inputs!A431=end!A:A)*(all_inputs!J431=end!C:C),0)),"")</f>
        <v>0</v>
      </c>
      <c r="X431" s="4" cm="1">
        <f t="array" ref="X431">_xlfn.IFNA(INDEX(end!J:J,MATCH(1, (all_inputs!A431=end!A:A)*(all_inputs!J431=end!C:C),0)),"")</f>
        <v>1</v>
      </c>
      <c r="Y431" s="4" cm="1">
        <f t="array" ref="Y431">_xlfn.IFNA(INDEX(end!K:K,MATCH(1, (all_inputs!A431=end!A:A)*(all_inputs!J431=end!C:C),0)),"")</f>
        <v>0</v>
      </c>
      <c r="Z431" s="4" cm="1">
        <f t="array" ref="Z431">_xlfn.IFNA(INDEX(end!L:L,MATCH(1, (all_inputs!A431=end!A:A)*(all_inputs!J431=end!C:C),0)),"")</f>
        <v>0</v>
      </c>
      <c r="AA431" t="b">
        <f>VLOOKUP(A431,ui!A$37:B$52,2,FALSE)</f>
        <v>0</v>
      </c>
    </row>
    <row r="432" spans="1:27" x14ac:dyDescent="0.25">
      <c r="A432" t="s">
        <v>25</v>
      </c>
      <c r="B432" s="40">
        <f>IF(COUNTIF(dropdown!B$2:B$12,all_inputs!A432)=1,1,IF(COUNTIF(dropdown!C$2:C$4,all_inputs!A432)=1,2,IF(COUNTIF(dropdown!D$2:D$3,all_inputs!A432)=1,3,"?")))</f>
        <v>1</v>
      </c>
      <c r="C432" t="s">
        <v>17</v>
      </c>
      <c r="D432" t="s">
        <v>468</v>
      </c>
      <c r="E432" t="s">
        <v>440</v>
      </c>
      <c r="F432" s="4">
        <v>1</v>
      </c>
      <c r="G432" s="4">
        <f>ui!B$4</f>
        <v>2025</v>
      </c>
      <c r="H432" s="4">
        <f>ui!B$5</f>
        <v>2050</v>
      </c>
      <c r="I432" s="4" t="s">
        <v>93</v>
      </c>
      <c r="J432" s="4" t="str">
        <f>VLOOKUP(ui!B$2,dropdown!M:O,3,FALSE)</f>
        <v>LIC</v>
      </c>
      <c r="K432" s="4" cm="1">
        <f t="array" ref="K432">INDEX(begin!E:E,MATCH(1, (all_inputs!A432=begin!A:A)*(all_inputs!J432=begin!C:C),0))</f>
        <v>0</v>
      </c>
      <c r="L432" s="4" cm="1">
        <f t="array" ref="L432">INDEX(begin!F:F,MATCH(1, (all_inputs!A432=begin!A:A)*(all_inputs!J432=begin!C:C),0))</f>
        <v>0.05</v>
      </c>
      <c r="M432" s="4" cm="1">
        <f t="array" ref="M432">INDEX(begin!G:G,MATCH(1, (all_inputs!A432=begin!A:A)*(all_inputs!J432=begin!C:C),0))</f>
        <v>4.5000000000000005E-2</v>
      </c>
      <c r="N432" s="4">
        <f>VLOOKUP(A432,ui!A$37:C$52,3,FALSE)</f>
        <v>4.5000000000000005E-2</v>
      </c>
      <c r="O432" s="4" cm="1">
        <f t="array" ref="O432">INDEX(end!E:E,MATCH(1, (all_inputs!A432=end!A:A)*(all_inputs!J432=end!C:C),0))</f>
        <v>0</v>
      </c>
      <c r="P432" s="4" cm="1">
        <f t="array" ref="P432">INDEX(end!F:F,MATCH(1, (all_inputs!A432=end!A:A)*(all_inputs!J432=end!C:C),0))</f>
        <v>0.8</v>
      </c>
      <c r="Q432" s="4" cm="1">
        <f t="array" ref="Q432">INDEX(end!G:G,MATCH(1, (all_inputs!A432=end!A:A)*(all_inputs!J432=end!C:C),0))</f>
        <v>0.72000000000000008</v>
      </c>
      <c r="R432" s="4">
        <f>VLOOKUP(A432,ui!A$37:G$52,4,FALSE)</f>
        <v>4.0500000000000008E-2</v>
      </c>
      <c r="S432" s="4" cm="1">
        <f t="array" ref="S432">INDEX(begin!I:I,MATCH(1, (all_inputs!A432=begin!A:A)*(all_inputs!J432=begin!C:C),0))</f>
        <v>0</v>
      </c>
      <c r="T432" s="4" cm="1">
        <f t="array" ref="T432">INDEX(begin!J:J,MATCH(1, (all_inputs!A432=begin!A:A)*(all_inputs!J432=begin!C:C),0))</f>
        <v>1</v>
      </c>
      <c r="U432" s="4" cm="1">
        <f t="array" ref="U432">INDEX(begin!K:K,MATCH(1, (all_inputs!A432=begin!A:A)*(all_inputs!J432=begin!C:C),0))</f>
        <v>0</v>
      </c>
      <c r="V432" s="4" cm="1">
        <f t="array" ref="V432">INDEX(begin!L:L,MATCH(1, (all_inputs!A432=begin!A:A)*(all_inputs!J432=begin!C:C),0))</f>
        <v>0</v>
      </c>
      <c r="W432" s="4" cm="1">
        <f t="array" ref="W432">_xlfn.IFNA(INDEX(end!I:I,MATCH(1, (all_inputs!A432=end!A:A)*(all_inputs!J432=end!C:C),0)),"")</f>
        <v>0</v>
      </c>
      <c r="X432" s="4" cm="1">
        <f t="array" ref="X432">_xlfn.IFNA(INDEX(end!J:J,MATCH(1, (all_inputs!A432=end!A:A)*(all_inputs!J432=end!C:C),0)),"")</f>
        <v>1</v>
      </c>
      <c r="Y432" s="4" cm="1">
        <f t="array" ref="Y432">_xlfn.IFNA(INDEX(end!K:K,MATCH(1, (all_inputs!A432=end!A:A)*(all_inputs!J432=end!C:C),0)),"")</f>
        <v>0</v>
      </c>
      <c r="Z432" s="4" cm="1">
        <f t="array" ref="Z432">_xlfn.IFNA(INDEX(end!L:L,MATCH(1, (all_inputs!A432=end!A:A)*(all_inputs!J432=end!C:C),0)),"")</f>
        <v>0</v>
      </c>
      <c r="AA432" t="b">
        <f>VLOOKUP(A432,ui!A$37:B$52,2,FALSE)</f>
        <v>0</v>
      </c>
    </row>
    <row r="433" spans="1:27" x14ac:dyDescent="0.25">
      <c r="A433" s="2" t="s">
        <v>25</v>
      </c>
      <c r="B433" s="41">
        <f>IF(COUNTIF(dropdown!B$2:B$12,all_inputs!A433)=1,1,IF(COUNTIF(dropdown!C$2:C$4,all_inputs!A433)=1,2,IF(COUNTIF(dropdown!D$2:D$3,all_inputs!A433)=1,3,"?")))</f>
        <v>1</v>
      </c>
      <c r="C433" s="2" t="s">
        <v>18</v>
      </c>
      <c r="D433" s="2" t="s">
        <v>469</v>
      </c>
      <c r="E433" s="2" t="s">
        <v>440</v>
      </c>
      <c r="F433" s="2">
        <f>RR!F9</f>
        <v>0.5</v>
      </c>
      <c r="G433" s="5">
        <f>ui!B$4</f>
        <v>2025</v>
      </c>
      <c r="H433" s="5">
        <f>ui!B$5</f>
        <v>2050</v>
      </c>
      <c r="I433" s="5" t="s">
        <v>93</v>
      </c>
      <c r="J433" s="5" t="str">
        <f>VLOOKUP(ui!B$2,dropdown!M:O,3,FALSE)</f>
        <v>LIC</v>
      </c>
      <c r="K433" s="5" cm="1">
        <f t="array" ref="K433">INDEX(begin!E:E,MATCH(1, (all_inputs!A433=begin!A:A)*(all_inputs!J433=begin!C:C),0))</f>
        <v>0</v>
      </c>
      <c r="L433" s="5" cm="1">
        <f t="array" ref="L433">INDEX(begin!F:F,MATCH(1, (all_inputs!A433=begin!A:A)*(all_inputs!J433=begin!C:C),0))</f>
        <v>0.05</v>
      </c>
      <c r="M433" s="5" cm="1">
        <f t="array" ref="M433">INDEX(begin!G:G,MATCH(1, (all_inputs!A433=begin!A:A)*(all_inputs!J433=begin!C:C),0))</f>
        <v>4.5000000000000005E-2</v>
      </c>
      <c r="N433" s="5">
        <f>VLOOKUP(A433,ui!A$37:C$52,3,FALSE)</f>
        <v>4.5000000000000005E-2</v>
      </c>
      <c r="O433" s="5" cm="1">
        <f t="array" ref="O433">INDEX(end!E:E,MATCH(1, (all_inputs!A433=end!A:A)*(all_inputs!J433=end!C:C),0))</f>
        <v>0</v>
      </c>
      <c r="P433" s="5" cm="1">
        <f t="array" ref="P433">INDEX(end!F:F,MATCH(1, (all_inputs!A433=end!A:A)*(all_inputs!J433=end!C:C),0))</f>
        <v>0.8</v>
      </c>
      <c r="Q433" s="5" cm="1">
        <f t="array" ref="Q433">INDEX(end!G:G,MATCH(1, (all_inputs!A433=end!A:A)*(all_inputs!J433=end!C:C),0))</f>
        <v>0.72000000000000008</v>
      </c>
      <c r="R433" s="5">
        <f>VLOOKUP(A433,ui!A$37:G$52,4,FALSE)</f>
        <v>4.0500000000000008E-2</v>
      </c>
      <c r="S433" s="5" cm="1">
        <f t="array" ref="S433">INDEX(begin!I:I,MATCH(1, (all_inputs!A433=begin!A:A)*(all_inputs!J433=begin!C:C),0))</f>
        <v>0</v>
      </c>
      <c r="T433" s="5" cm="1">
        <f t="array" ref="T433">INDEX(begin!J:J,MATCH(1, (all_inputs!A433=begin!A:A)*(all_inputs!J433=begin!C:C),0))</f>
        <v>1</v>
      </c>
      <c r="U433" s="5" cm="1">
        <f t="array" ref="U433">INDEX(begin!K:K,MATCH(1, (all_inputs!A433=begin!A:A)*(all_inputs!J433=begin!C:C),0))</f>
        <v>0</v>
      </c>
      <c r="V433" s="5" cm="1">
        <f t="array" ref="V433">INDEX(begin!L:L,MATCH(1, (all_inputs!A433=begin!A:A)*(all_inputs!J433=begin!C:C),0))</f>
        <v>0</v>
      </c>
      <c r="W433" s="5" cm="1">
        <f t="array" ref="W433">_xlfn.IFNA(INDEX(end!I:I,MATCH(1, (all_inputs!A433=end!A:A)*(all_inputs!J433=end!C:C),0)),"")</f>
        <v>0</v>
      </c>
      <c r="X433" s="5" cm="1">
        <f t="array" ref="X433">_xlfn.IFNA(INDEX(end!J:J,MATCH(1, (all_inputs!A433=end!A:A)*(all_inputs!J433=end!C:C),0)),"")</f>
        <v>1</v>
      </c>
      <c r="Y433" s="5" cm="1">
        <f t="array" ref="Y433">_xlfn.IFNA(INDEX(end!K:K,MATCH(1, (all_inputs!A433=end!A:A)*(all_inputs!J433=end!C:C),0)),"")</f>
        <v>0</v>
      </c>
      <c r="Z433" s="5" cm="1">
        <f t="array" ref="Z433">_xlfn.IFNA(INDEX(end!L:L,MATCH(1, (all_inputs!A433=end!A:A)*(all_inputs!J433=end!C:C),0)),"")</f>
        <v>0</v>
      </c>
      <c r="AA433" s="2" t="b">
        <f>VLOOKUP(A433,ui!A$37:B$52,2,FALSE)</f>
        <v>0</v>
      </c>
    </row>
    <row r="434" spans="1:27" x14ac:dyDescent="0.25">
      <c r="A434" t="s">
        <v>26</v>
      </c>
      <c r="B434" s="40">
        <f>IF(COUNTIF(dropdown!B$2:B$12,all_inputs!A434)=1,1,IF(COUNTIF(dropdown!C$2:C$4,all_inputs!A434)=1,2,IF(COUNTIF(dropdown!D$2:D$3,all_inputs!A434)=1,3,"?")))</f>
        <v>1</v>
      </c>
      <c r="C434" t="s">
        <v>13</v>
      </c>
      <c r="D434" t="s">
        <v>472</v>
      </c>
      <c r="E434" t="s">
        <v>440</v>
      </c>
      <c r="F434" s="4" cm="1">
        <f t="array" ref="F434">IF(B434&lt;&gt;3,1,_xlfn.IFNA(INDEX(#REF!,MATCH(1, (all_inputs!A434=#REF!)*(all_inputs!D434=#REF!),0)),1))</f>
        <v>1</v>
      </c>
      <c r="G434" s="4">
        <f>ui!B$4</f>
        <v>2025</v>
      </c>
      <c r="H434" s="4">
        <f>ui!B$5</f>
        <v>2050</v>
      </c>
      <c r="I434" s="4" t="s">
        <v>93</v>
      </c>
      <c r="J434" s="4" t="str">
        <f>VLOOKUP(ui!B$2,dropdown!M:O,3,FALSE)</f>
        <v>LIC</v>
      </c>
      <c r="K434" s="4" cm="1">
        <f t="array" ref="K434">INDEX(begin!E:E,MATCH(1, (all_inputs!A434=begin!A:A)*(all_inputs!J434=begin!C:C),0))</f>
        <v>0</v>
      </c>
      <c r="L434" s="4" cm="1">
        <f t="array" ref="L434">INDEX(begin!F:F,MATCH(1, (all_inputs!A434=begin!A:A)*(all_inputs!J434=begin!C:C),0))</f>
        <v>0.05</v>
      </c>
      <c r="M434" s="4" cm="1">
        <f t="array" ref="M434">INDEX(begin!G:G,MATCH(1, (all_inputs!A434=begin!A:A)*(all_inputs!J434=begin!C:C),0))</f>
        <v>4.5000000000000005E-2</v>
      </c>
      <c r="N434" s="4">
        <f>VLOOKUP(A434,ui!A$37:C$52,3,FALSE)</f>
        <v>4.5000000000000005E-2</v>
      </c>
      <c r="O434" s="4" cm="1">
        <f t="array" ref="O434">INDEX(end!E:E,MATCH(1, (all_inputs!A434=end!A:A)*(all_inputs!J434=end!C:C),0))</f>
        <v>0</v>
      </c>
      <c r="P434" s="4" cm="1">
        <f t="array" ref="P434">INDEX(end!F:F,MATCH(1, (all_inputs!A434=end!A:A)*(all_inputs!J434=end!C:C),0))</f>
        <v>0.8</v>
      </c>
      <c r="Q434" s="4" cm="1">
        <f t="array" ref="Q434">INDEX(end!G:G,MATCH(1, (all_inputs!A434=end!A:A)*(all_inputs!J434=end!C:C),0))</f>
        <v>0.72000000000000008</v>
      </c>
      <c r="R434" s="4">
        <f>VLOOKUP(A434,ui!A$37:G$52,4,FALSE)</f>
        <v>4.0500000000000008E-2</v>
      </c>
      <c r="S434" s="4" cm="1">
        <f t="array" ref="S434">INDEX(begin!I:I,MATCH(1, (all_inputs!A434=begin!A:A)*(all_inputs!J434=begin!C:C),0))</f>
        <v>0</v>
      </c>
      <c r="T434" s="4" cm="1">
        <f t="array" ref="T434">INDEX(begin!J:J,MATCH(1, (all_inputs!A434=begin!A:A)*(all_inputs!J434=begin!C:C),0))</f>
        <v>1</v>
      </c>
      <c r="U434" s="4" cm="1">
        <f t="array" ref="U434">INDEX(begin!K:K,MATCH(1, (all_inputs!A434=begin!A:A)*(all_inputs!J434=begin!C:C),0))</f>
        <v>0</v>
      </c>
      <c r="V434" s="4" cm="1">
        <f t="array" ref="V434">INDEX(begin!L:L,MATCH(1, (all_inputs!A434=begin!A:A)*(all_inputs!J434=begin!C:C),0))</f>
        <v>0</v>
      </c>
      <c r="W434" s="4" cm="1">
        <f t="array" ref="W434">_xlfn.IFNA(INDEX(end!I:I,MATCH(1, (all_inputs!A434=end!A:A)*(all_inputs!J434=end!C:C),0)),"")</f>
        <v>0</v>
      </c>
      <c r="X434" s="4" cm="1">
        <f t="array" ref="X434">_xlfn.IFNA(INDEX(end!J:J,MATCH(1, (all_inputs!A434=end!A:A)*(all_inputs!J434=end!C:C),0)),"")</f>
        <v>1</v>
      </c>
      <c r="Y434" s="4" cm="1">
        <f t="array" ref="Y434">_xlfn.IFNA(INDEX(end!K:K,MATCH(1, (all_inputs!A434=end!A:A)*(all_inputs!J434=end!C:C),0)),"")</f>
        <v>0</v>
      </c>
      <c r="Z434" s="4" cm="1">
        <f t="array" ref="Z434">_xlfn.IFNA(INDEX(end!L:L,MATCH(1, (all_inputs!A434=end!A:A)*(all_inputs!J434=end!C:C),0)),"")</f>
        <v>0</v>
      </c>
      <c r="AA434" t="b">
        <f>VLOOKUP(A434,ui!A$37:B$52,2,FALSE)</f>
        <v>0</v>
      </c>
    </row>
    <row r="435" spans="1:27" x14ac:dyDescent="0.25">
      <c r="A435" t="s">
        <v>26</v>
      </c>
      <c r="B435" s="40">
        <f>IF(COUNTIF(dropdown!B$2:B$12,all_inputs!A435)=1,1,IF(COUNTIF(dropdown!C$2:C$4,all_inputs!A435)=1,2,IF(COUNTIF(dropdown!D$2:D$3,all_inputs!A435)=1,3,"?")))</f>
        <v>1</v>
      </c>
      <c r="C435" t="s">
        <v>14</v>
      </c>
      <c r="D435" t="s">
        <v>466</v>
      </c>
      <c r="E435" t="s">
        <v>440</v>
      </c>
      <c r="F435">
        <f>RR!C10</f>
        <v>1</v>
      </c>
      <c r="G435" s="4">
        <f>ui!B$4</f>
        <v>2025</v>
      </c>
      <c r="H435" s="4">
        <f>ui!B$5</f>
        <v>2050</v>
      </c>
      <c r="I435" s="4" t="s">
        <v>93</v>
      </c>
      <c r="J435" s="4" t="str">
        <f>VLOOKUP(ui!B$2,dropdown!M:O,3,FALSE)</f>
        <v>LIC</v>
      </c>
      <c r="K435" s="4" cm="1">
        <f t="array" ref="K435">INDEX(begin!E:E,MATCH(1, (all_inputs!A435=begin!A:A)*(all_inputs!J435=begin!C:C),0))</f>
        <v>0</v>
      </c>
      <c r="L435" s="4" cm="1">
        <f t="array" ref="L435">INDEX(begin!F:F,MATCH(1, (all_inputs!A435=begin!A:A)*(all_inputs!J435=begin!C:C),0))</f>
        <v>0.05</v>
      </c>
      <c r="M435" s="4" cm="1">
        <f t="array" ref="M435">INDEX(begin!G:G,MATCH(1, (all_inputs!A435=begin!A:A)*(all_inputs!J435=begin!C:C),0))</f>
        <v>4.5000000000000005E-2</v>
      </c>
      <c r="N435" s="4">
        <f>VLOOKUP(A435,ui!A$37:C$52,3,FALSE)</f>
        <v>4.5000000000000005E-2</v>
      </c>
      <c r="O435" s="4" cm="1">
        <f t="array" ref="O435">INDEX(end!E:E,MATCH(1, (all_inputs!A435=end!A:A)*(all_inputs!J435=end!C:C),0))</f>
        <v>0</v>
      </c>
      <c r="P435" s="4" cm="1">
        <f t="array" ref="P435">INDEX(end!F:F,MATCH(1, (all_inputs!A435=end!A:A)*(all_inputs!J435=end!C:C),0))</f>
        <v>0.8</v>
      </c>
      <c r="Q435" s="4" cm="1">
        <f t="array" ref="Q435">INDEX(end!G:G,MATCH(1, (all_inputs!A435=end!A:A)*(all_inputs!J435=end!C:C),0))</f>
        <v>0.72000000000000008</v>
      </c>
      <c r="R435" s="4">
        <f>VLOOKUP(A435,ui!A$37:G$52,4,FALSE)</f>
        <v>4.0500000000000008E-2</v>
      </c>
      <c r="S435" s="4" cm="1">
        <f t="array" ref="S435">INDEX(begin!I:I,MATCH(1, (all_inputs!A435=begin!A:A)*(all_inputs!J435=begin!C:C),0))</f>
        <v>0</v>
      </c>
      <c r="T435" s="4" cm="1">
        <f t="array" ref="T435">INDEX(begin!J:J,MATCH(1, (all_inputs!A435=begin!A:A)*(all_inputs!J435=begin!C:C),0))</f>
        <v>1</v>
      </c>
      <c r="U435" s="4" cm="1">
        <f t="array" ref="U435">INDEX(begin!K:K,MATCH(1, (all_inputs!A435=begin!A:A)*(all_inputs!J435=begin!C:C),0))</f>
        <v>0</v>
      </c>
      <c r="V435" s="4" cm="1">
        <f t="array" ref="V435">INDEX(begin!L:L,MATCH(1, (all_inputs!A435=begin!A:A)*(all_inputs!J435=begin!C:C),0))</f>
        <v>0</v>
      </c>
      <c r="W435" s="4" cm="1">
        <f t="array" ref="W435">_xlfn.IFNA(INDEX(end!I:I,MATCH(1, (all_inputs!A435=end!A:A)*(all_inputs!J435=end!C:C),0)),"")</f>
        <v>0</v>
      </c>
      <c r="X435" s="4" cm="1">
        <f t="array" ref="X435">_xlfn.IFNA(INDEX(end!J:J,MATCH(1, (all_inputs!A435=end!A:A)*(all_inputs!J435=end!C:C),0)),"")</f>
        <v>1</v>
      </c>
      <c r="Y435" s="4" cm="1">
        <f t="array" ref="Y435">_xlfn.IFNA(INDEX(end!K:K,MATCH(1, (all_inputs!A435=end!A:A)*(all_inputs!J435=end!C:C),0)),"")</f>
        <v>0</v>
      </c>
      <c r="Z435" s="4" cm="1">
        <f t="array" ref="Z435">_xlfn.IFNA(INDEX(end!L:L,MATCH(1, (all_inputs!A435=end!A:A)*(all_inputs!J435=end!C:C),0)),"")</f>
        <v>0</v>
      </c>
      <c r="AA435" t="b">
        <f>VLOOKUP(A435,ui!A$37:B$52,2,FALSE)</f>
        <v>0</v>
      </c>
    </row>
    <row r="436" spans="1:27" x14ac:dyDescent="0.25">
      <c r="A436" t="s">
        <v>26</v>
      </c>
      <c r="B436" s="40">
        <f>IF(COUNTIF(dropdown!B$2:B$12,all_inputs!A436)=1,1,IF(COUNTIF(dropdown!C$2:C$4,all_inputs!A436)=1,2,IF(COUNTIF(dropdown!D$2:D$3,all_inputs!A436)=1,3,"?")))</f>
        <v>1</v>
      </c>
      <c r="C436" t="s">
        <v>15</v>
      </c>
      <c r="D436" t="s">
        <v>466</v>
      </c>
      <c r="E436" t="s">
        <v>440</v>
      </c>
      <c r="F436" s="4">
        <v>1</v>
      </c>
      <c r="G436" s="4">
        <f>ui!B$4</f>
        <v>2025</v>
      </c>
      <c r="H436" s="4">
        <f>ui!B$5</f>
        <v>2050</v>
      </c>
      <c r="I436" s="4" t="s">
        <v>93</v>
      </c>
      <c r="J436" s="4" t="str">
        <f>VLOOKUP(ui!B$2,dropdown!M:O,3,FALSE)</f>
        <v>LIC</v>
      </c>
      <c r="K436" s="4" cm="1">
        <f t="array" ref="K436">INDEX(begin!E:E,MATCH(1, (all_inputs!A436=begin!A:A)*(all_inputs!J436=begin!C:C),0))</f>
        <v>0</v>
      </c>
      <c r="L436" s="4" cm="1">
        <f t="array" ref="L436">INDEX(begin!F:F,MATCH(1, (all_inputs!A436=begin!A:A)*(all_inputs!J436=begin!C:C),0))</f>
        <v>0.05</v>
      </c>
      <c r="M436" s="4" cm="1">
        <f t="array" ref="M436">INDEX(begin!G:G,MATCH(1, (all_inputs!A436=begin!A:A)*(all_inputs!J436=begin!C:C),0))</f>
        <v>4.5000000000000005E-2</v>
      </c>
      <c r="N436" s="4">
        <f>VLOOKUP(A436,ui!A$37:C$52,3,FALSE)</f>
        <v>4.5000000000000005E-2</v>
      </c>
      <c r="O436" s="4" cm="1">
        <f t="array" ref="O436">INDEX(end!E:E,MATCH(1, (all_inputs!A436=end!A:A)*(all_inputs!J436=end!C:C),0))</f>
        <v>0</v>
      </c>
      <c r="P436" s="4" cm="1">
        <f t="array" ref="P436">INDEX(end!F:F,MATCH(1, (all_inputs!A436=end!A:A)*(all_inputs!J436=end!C:C),0))</f>
        <v>0.8</v>
      </c>
      <c r="Q436" s="4" cm="1">
        <f t="array" ref="Q436">INDEX(end!G:G,MATCH(1, (all_inputs!A436=end!A:A)*(all_inputs!J436=end!C:C),0))</f>
        <v>0.72000000000000008</v>
      </c>
      <c r="R436" s="4">
        <f>VLOOKUP(A436,ui!A$37:G$52,4,FALSE)</f>
        <v>4.0500000000000008E-2</v>
      </c>
      <c r="S436" s="4" cm="1">
        <f t="array" ref="S436">INDEX(begin!I:I,MATCH(1, (all_inputs!A436=begin!A:A)*(all_inputs!J436=begin!C:C),0))</f>
        <v>0</v>
      </c>
      <c r="T436" s="4" cm="1">
        <f t="array" ref="T436">INDEX(begin!J:J,MATCH(1, (all_inputs!A436=begin!A:A)*(all_inputs!J436=begin!C:C),0))</f>
        <v>1</v>
      </c>
      <c r="U436" s="4" cm="1">
        <f t="array" ref="U436">INDEX(begin!K:K,MATCH(1, (all_inputs!A436=begin!A:A)*(all_inputs!J436=begin!C:C),0))</f>
        <v>0</v>
      </c>
      <c r="V436" s="4" cm="1">
        <f t="array" ref="V436">INDEX(begin!L:L,MATCH(1, (all_inputs!A436=begin!A:A)*(all_inputs!J436=begin!C:C),0))</f>
        <v>0</v>
      </c>
      <c r="W436" s="4" cm="1">
        <f t="array" ref="W436">_xlfn.IFNA(INDEX(end!I:I,MATCH(1, (all_inputs!A436=end!A:A)*(all_inputs!J436=end!C:C),0)),"")</f>
        <v>0</v>
      </c>
      <c r="X436" s="4" cm="1">
        <f t="array" ref="X436">_xlfn.IFNA(INDEX(end!J:J,MATCH(1, (all_inputs!A436=end!A:A)*(all_inputs!J436=end!C:C),0)),"")</f>
        <v>1</v>
      </c>
      <c r="Y436" s="4" cm="1">
        <f t="array" ref="Y436">_xlfn.IFNA(INDEX(end!K:K,MATCH(1, (all_inputs!A436=end!A:A)*(all_inputs!J436=end!C:C),0)),"")</f>
        <v>0</v>
      </c>
      <c r="Z436" s="4" cm="1">
        <f t="array" ref="Z436">_xlfn.IFNA(INDEX(end!L:L,MATCH(1, (all_inputs!A436=end!A:A)*(all_inputs!J436=end!C:C),0)),"")</f>
        <v>0</v>
      </c>
      <c r="AA436" t="b">
        <f>VLOOKUP(A436,ui!A$37:B$52,2,FALSE)</f>
        <v>0</v>
      </c>
    </row>
    <row r="437" spans="1:27" x14ac:dyDescent="0.25">
      <c r="A437" t="s">
        <v>26</v>
      </c>
      <c r="B437" s="40">
        <f>IF(COUNTIF(dropdown!B$2:B$12,all_inputs!A437)=1,1,IF(COUNTIF(dropdown!C$2:C$4,all_inputs!A437)=1,2,IF(COUNTIF(dropdown!D$2:D$3,all_inputs!A437)=1,3,"?")))</f>
        <v>1</v>
      </c>
      <c r="C437" t="s">
        <v>16</v>
      </c>
      <c r="D437" t="s">
        <v>467</v>
      </c>
      <c r="E437" t="s">
        <v>440</v>
      </c>
      <c r="F437" s="4">
        <v>1</v>
      </c>
      <c r="G437" s="4">
        <f>ui!B$4</f>
        <v>2025</v>
      </c>
      <c r="H437" s="4">
        <f>ui!B$5</f>
        <v>2050</v>
      </c>
      <c r="I437" s="4" t="s">
        <v>93</v>
      </c>
      <c r="J437" s="4" t="str">
        <f>VLOOKUP(ui!B$2,dropdown!M:O,3,FALSE)</f>
        <v>LIC</v>
      </c>
      <c r="K437" s="4" cm="1">
        <f t="array" ref="K437">INDEX(begin!E:E,MATCH(1, (all_inputs!A437=begin!A:A)*(all_inputs!J437=begin!C:C),0))</f>
        <v>0</v>
      </c>
      <c r="L437" s="4" cm="1">
        <f t="array" ref="L437">INDEX(begin!F:F,MATCH(1, (all_inputs!A437=begin!A:A)*(all_inputs!J437=begin!C:C),0))</f>
        <v>0.05</v>
      </c>
      <c r="M437" s="4" cm="1">
        <f t="array" ref="M437">INDEX(begin!G:G,MATCH(1, (all_inputs!A437=begin!A:A)*(all_inputs!J437=begin!C:C),0))</f>
        <v>4.5000000000000005E-2</v>
      </c>
      <c r="N437" s="4">
        <f>VLOOKUP(A437,ui!A$37:C$52,3,FALSE)</f>
        <v>4.5000000000000005E-2</v>
      </c>
      <c r="O437" s="4" cm="1">
        <f t="array" ref="O437">INDEX(end!E:E,MATCH(1, (all_inputs!A437=end!A:A)*(all_inputs!J437=end!C:C),0))</f>
        <v>0</v>
      </c>
      <c r="P437" s="4" cm="1">
        <f t="array" ref="P437">INDEX(end!F:F,MATCH(1, (all_inputs!A437=end!A:A)*(all_inputs!J437=end!C:C),0))</f>
        <v>0.8</v>
      </c>
      <c r="Q437" s="4" cm="1">
        <f t="array" ref="Q437">INDEX(end!G:G,MATCH(1, (all_inputs!A437=end!A:A)*(all_inputs!J437=end!C:C),0))</f>
        <v>0.72000000000000008</v>
      </c>
      <c r="R437" s="4">
        <f>VLOOKUP(A437,ui!A$37:G$52,4,FALSE)</f>
        <v>4.0500000000000008E-2</v>
      </c>
      <c r="S437" s="4" cm="1">
        <f t="array" ref="S437">INDEX(begin!I:I,MATCH(1, (all_inputs!A437=begin!A:A)*(all_inputs!J437=begin!C:C),0))</f>
        <v>0</v>
      </c>
      <c r="T437" s="4" cm="1">
        <f t="array" ref="T437">INDEX(begin!J:J,MATCH(1, (all_inputs!A437=begin!A:A)*(all_inputs!J437=begin!C:C),0))</f>
        <v>1</v>
      </c>
      <c r="U437" s="4" cm="1">
        <f t="array" ref="U437">INDEX(begin!K:K,MATCH(1, (all_inputs!A437=begin!A:A)*(all_inputs!J437=begin!C:C),0))</f>
        <v>0</v>
      </c>
      <c r="V437" s="4" cm="1">
        <f t="array" ref="V437">INDEX(begin!L:L,MATCH(1, (all_inputs!A437=begin!A:A)*(all_inputs!J437=begin!C:C),0))</f>
        <v>0</v>
      </c>
      <c r="W437" s="4" cm="1">
        <f t="array" ref="W437">_xlfn.IFNA(INDEX(end!I:I,MATCH(1, (all_inputs!A437=end!A:A)*(all_inputs!J437=end!C:C),0)),"")</f>
        <v>0</v>
      </c>
      <c r="X437" s="4" cm="1">
        <f t="array" ref="X437">_xlfn.IFNA(INDEX(end!J:J,MATCH(1, (all_inputs!A437=end!A:A)*(all_inputs!J437=end!C:C),0)),"")</f>
        <v>1</v>
      </c>
      <c r="Y437" s="4" cm="1">
        <f t="array" ref="Y437">_xlfn.IFNA(INDEX(end!K:K,MATCH(1, (all_inputs!A437=end!A:A)*(all_inputs!J437=end!C:C),0)),"")</f>
        <v>0</v>
      </c>
      <c r="Z437" s="4" cm="1">
        <f t="array" ref="Z437">_xlfn.IFNA(INDEX(end!L:L,MATCH(1, (all_inputs!A437=end!A:A)*(all_inputs!J437=end!C:C),0)),"")</f>
        <v>0</v>
      </c>
      <c r="AA437" t="b">
        <f>VLOOKUP(A437,ui!A$37:B$52,2,FALSE)</f>
        <v>0</v>
      </c>
    </row>
    <row r="438" spans="1:27" x14ac:dyDescent="0.25">
      <c r="A438" t="s">
        <v>26</v>
      </c>
      <c r="B438" s="40">
        <f>IF(COUNTIF(dropdown!B$2:B$12,all_inputs!A438)=1,1,IF(COUNTIF(dropdown!C$2:C$4,all_inputs!A438)=1,2,IF(COUNTIF(dropdown!D$2:D$3,all_inputs!A438)=1,3,"?")))</f>
        <v>1</v>
      </c>
      <c r="C438" t="s">
        <v>17</v>
      </c>
      <c r="D438" t="s">
        <v>468</v>
      </c>
      <c r="E438" t="s">
        <v>440</v>
      </c>
      <c r="F438" s="4">
        <v>1</v>
      </c>
      <c r="G438" s="4">
        <f>ui!B$4</f>
        <v>2025</v>
      </c>
      <c r="H438" s="4">
        <f>ui!B$5</f>
        <v>2050</v>
      </c>
      <c r="I438" s="4" t="s">
        <v>93</v>
      </c>
      <c r="J438" s="4" t="str">
        <f>VLOOKUP(ui!B$2,dropdown!M:O,3,FALSE)</f>
        <v>LIC</v>
      </c>
      <c r="K438" s="4" cm="1">
        <f t="array" ref="K438">INDEX(begin!E:E,MATCH(1, (all_inputs!A438=begin!A:A)*(all_inputs!J438=begin!C:C),0))</f>
        <v>0</v>
      </c>
      <c r="L438" s="4" cm="1">
        <f t="array" ref="L438">INDEX(begin!F:F,MATCH(1, (all_inputs!A438=begin!A:A)*(all_inputs!J438=begin!C:C),0))</f>
        <v>0.05</v>
      </c>
      <c r="M438" s="4" cm="1">
        <f t="array" ref="M438">INDEX(begin!G:G,MATCH(1, (all_inputs!A438=begin!A:A)*(all_inputs!J438=begin!C:C),0))</f>
        <v>4.5000000000000005E-2</v>
      </c>
      <c r="N438" s="4">
        <f>VLOOKUP(A438,ui!A$37:C$52,3,FALSE)</f>
        <v>4.5000000000000005E-2</v>
      </c>
      <c r="O438" s="4" cm="1">
        <f t="array" ref="O438">INDEX(end!E:E,MATCH(1, (all_inputs!A438=end!A:A)*(all_inputs!J438=end!C:C),0))</f>
        <v>0</v>
      </c>
      <c r="P438" s="4" cm="1">
        <f t="array" ref="P438">INDEX(end!F:F,MATCH(1, (all_inputs!A438=end!A:A)*(all_inputs!J438=end!C:C),0))</f>
        <v>0.8</v>
      </c>
      <c r="Q438" s="4" cm="1">
        <f t="array" ref="Q438">INDEX(end!G:G,MATCH(1, (all_inputs!A438=end!A:A)*(all_inputs!J438=end!C:C),0))</f>
        <v>0.72000000000000008</v>
      </c>
      <c r="R438" s="4">
        <f>VLOOKUP(A438,ui!A$37:G$52,4,FALSE)</f>
        <v>4.0500000000000008E-2</v>
      </c>
      <c r="S438" s="4" cm="1">
        <f t="array" ref="S438">INDEX(begin!I:I,MATCH(1, (all_inputs!A438=begin!A:A)*(all_inputs!J438=begin!C:C),0))</f>
        <v>0</v>
      </c>
      <c r="T438" s="4" cm="1">
        <f t="array" ref="T438">INDEX(begin!J:J,MATCH(1, (all_inputs!A438=begin!A:A)*(all_inputs!J438=begin!C:C),0))</f>
        <v>1</v>
      </c>
      <c r="U438" s="4" cm="1">
        <f t="array" ref="U438">INDEX(begin!K:K,MATCH(1, (all_inputs!A438=begin!A:A)*(all_inputs!J438=begin!C:C),0))</f>
        <v>0</v>
      </c>
      <c r="V438" s="4" cm="1">
        <f t="array" ref="V438">INDEX(begin!L:L,MATCH(1, (all_inputs!A438=begin!A:A)*(all_inputs!J438=begin!C:C),0))</f>
        <v>0</v>
      </c>
      <c r="W438" s="4" cm="1">
        <f t="array" ref="W438">_xlfn.IFNA(INDEX(end!I:I,MATCH(1, (all_inputs!A438=end!A:A)*(all_inputs!J438=end!C:C),0)),"")</f>
        <v>0</v>
      </c>
      <c r="X438" s="4" cm="1">
        <f t="array" ref="X438">_xlfn.IFNA(INDEX(end!J:J,MATCH(1, (all_inputs!A438=end!A:A)*(all_inputs!J438=end!C:C),0)),"")</f>
        <v>1</v>
      </c>
      <c r="Y438" s="4" cm="1">
        <f t="array" ref="Y438">_xlfn.IFNA(INDEX(end!K:K,MATCH(1, (all_inputs!A438=end!A:A)*(all_inputs!J438=end!C:C),0)),"")</f>
        <v>0</v>
      </c>
      <c r="Z438" s="4" cm="1">
        <f t="array" ref="Z438">_xlfn.IFNA(INDEX(end!L:L,MATCH(1, (all_inputs!A438=end!A:A)*(all_inputs!J438=end!C:C),0)),"")</f>
        <v>0</v>
      </c>
      <c r="AA438" t="b">
        <f>VLOOKUP(A438,ui!A$37:B$52,2,FALSE)</f>
        <v>0</v>
      </c>
    </row>
    <row r="439" spans="1:27" x14ac:dyDescent="0.25">
      <c r="A439" s="2" t="s">
        <v>26</v>
      </c>
      <c r="B439" s="41">
        <f>IF(COUNTIF(dropdown!B$2:B$12,all_inputs!A439)=1,1,IF(COUNTIF(dropdown!C$2:C$4,all_inputs!A439)=1,2,IF(COUNTIF(dropdown!D$2:D$3,all_inputs!A439)=1,3,"?")))</f>
        <v>1</v>
      </c>
      <c r="C439" s="2" t="s">
        <v>18</v>
      </c>
      <c r="D439" s="2" t="s">
        <v>469</v>
      </c>
      <c r="E439" s="2" t="s">
        <v>440</v>
      </c>
      <c r="F439" s="2">
        <f>RR!F10</f>
        <v>0.5</v>
      </c>
      <c r="G439" s="5">
        <f>ui!B$4</f>
        <v>2025</v>
      </c>
      <c r="H439" s="5">
        <f>ui!B$5</f>
        <v>2050</v>
      </c>
      <c r="I439" s="5" t="s">
        <v>93</v>
      </c>
      <c r="J439" s="5" t="str">
        <f>VLOOKUP(ui!B$2,dropdown!M:O,3,FALSE)</f>
        <v>LIC</v>
      </c>
      <c r="K439" s="5" cm="1">
        <f t="array" ref="K439">INDEX(begin!E:E,MATCH(1, (all_inputs!A439=begin!A:A)*(all_inputs!J439=begin!C:C),0))</f>
        <v>0</v>
      </c>
      <c r="L439" s="5" cm="1">
        <f t="array" ref="L439">INDEX(begin!F:F,MATCH(1, (all_inputs!A439=begin!A:A)*(all_inputs!J439=begin!C:C),0))</f>
        <v>0.05</v>
      </c>
      <c r="M439" s="5" cm="1">
        <f t="array" ref="M439">INDEX(begin!G:G,MATCH(1, (all_inputs!A439=begin!A:A)*(all_inputs!J439=begin!C:C),0))</f>
        <v>4.5000000000000005E-2</v>
      </c>
      <c r="N439" s="5">
        <f>VLOOKUP(A439,ui!A$37:C$52,3,FALSE)</f>
        <v>4.5000000000000005E-2</v>
      </c>
      <c r="O439" s="5" cm="1">
        <f t="array" ref="O439">INDEX(end!E:E,MATCH(1, (all_inputs!A439=end!A:A)*(all_inputs!J439=end!C:C),0))</f>
        <v>0</v>
      </c>
      <c r="P439" s="5" cm="1">
        <f t="array" ref="P439">INDEX(end!F:F,MATCH(1, (all_inputs!A439=end!A:A)*(all_inputs!J439=end!C:C),0))</f>
        <v>0.8</v>
      </c>
      <c r="Q439" s="5" cm="1">
        <f t="array" ref="Q439">INDEX(end!G:G,MATCH(1, (all_inputs!A439=end!A:A)*(all_inputs!J439=end!C:C),0))</f>
        <v>0.72000000000000008</v>
      </c>
      <c r="R439" s="5">
        <f>VLOOKUP(A439,ui!A$37:G$52,4,FALSE)</f>
        <v>4.0500000000000008E-2</v>
      </c>
      <c r="S439" s="5" cm="1">
        <f t="array" ref="S439">INDEX(begin!I:I,MATCH(1, (all_inputs!A439=begin!A:A)*(all_inputs!J439=begin!C:C),0))</f>
        <v>0</v>
      </c>
      <c r="T439" s="5" cm="1">
        <f t="array" ref="T439">INDEX(begin!J:J,MATCH(1, (all_inputs!A439=begin!A:A)*(all_inputs!J439=begin!C:C),0))</f>
        <v>1</v>
      </c>
      <c r="U439" s="5" cm="1">
        <f t="array" ref="U439">INDEX(begin!K:K,MATCH(1, (all_inputs!A439=begin!A:A)*(all_inputs!J439=begin!C:C),0))</f>
        <v>0</v>
      </c>
      <c r="V439" s="5" cm="1">
        <f t="array" ref="V439">INDEX(begin!L:L,MATCH(1, (all_inputs!A439=begin!A:A)*(all_inputs!J439=begin!C:C),0))</f>
        <v>0</v>
      </c>
      <c r="W439" s="5" cm="1">
        <f t="array" ref="W439">_xlfn.IFNA(INDEX(end!I:I,MATCH(1, (all_inputs!A439=end!A:A)*(all_inputs!J439=end!C:C),0)),"")</f>
        <v>0</v>
      </c>
      <c r="X439" s="5" cm="1">
        <f t="array" ref="X439">_xlfn.IFNA(INDEX(end!J:J,MATCH(1, (all_inputs!A439=end!A:A)*(all_inputs!J439=end!C:C),0)),"")</f>
        <v>1</v>
      </c>
      <c r="Y439" s="5" cm="1">
        <f t="array" ref="Y439">_xlfn.IFNA(INDEX(end!K:K,MATCH(1, (all_inputs!A439=end!A:A)*(all_inputs!J439=end!C:C),0)),"")</f>
        <v>0</v>
      </c>
      <c r="Z439" s="5" cm="1">
        <f t="array" ref="Z439">_xlfn.IFNA(INDEX(end!L:L,MATCH(1, (all_inputs!A439=end!A:A)*(all_inputs!J439=end!C:C),0)),"")</f>
        <v>0</v>
      </c>
      <c r="AA439" s="2" t="b">
        <f>VLOOKUP(A439,ui!A$37:B$52,2,FALSE)</f>
        <v>0</v>
      </c>
    </row>
    <row r="440" spans="1:27" x14ac:dyDescent="0.25">
      <c r="A440" t="s">
        <v>27</v>
      </c>
      <c r="B440" s="40">
        <f>IF(COUNTIF(dropdown!B$2:B$12,all_inputs!A440)=1,1,IF(COUNTIF(dropdown!C$2:C$4,all_inputs!A440)=1,2,IF(COUNTIF(dropdown!D$2:D$3,all_inputs!A440)=1,3,"?")))</f>
        <v>1</v>
      </c>
      <c r="C440" t="s">
        <v>13</v>
      </c>
      <c r="D440" t="s">
        <v>472</v>
      </c>
      <c r="E440" t="s">
        <v>440</v>
      </c>
      <c r="F440" s="4" cm="1">
        <f t="array" ref="F440">IF(B440&lt;&gt;3,1,_xlfn.IFNA(INDEX(#REF!,MATCH(1, (all_inputs!A440=#REF!)*(all_inputs!D440=#REF!),0)),1))</f>
        <v>1</v>
      </c>
      <c r="G440" s="4">
        <f>ui!B$4</f>
        <v>2025</v>
      </c>
      <c r="H440" s="4">
        <f>ui!B$5</f>
        <v>2050</v>
      </c>
      <c r="I440" s="4" t="s">
        <v>93</v>
      </c>
      <c r="J440" s="4" t="str">
        <f>VLOOKUP(ui!B$2,dropdown!M:O,3,FALSE)</f>
        <v>LIC</v>
      </c>
      <c r="K440" s="4" cm="1">
        <f t="array" ref="K440">INDEX(begin!E:E,MATCH(1, (all_inputs!A440=begin!A:A)*(all_inputs!J440=begin!C:C),0))</f>
        <v>0</v>
      </c>
      <c r="L440" s="4" cm="1">
        <f t="array" ref="L440">INDEX(begin!F:F,MATCH(1, (all_inputs!A440=begin!A:A)*(all_inputs!J440=begin!C:C),0))</f>
        <v>0.05</v>
      </c>
      <c r="M440" s="4" cm="1">
        <f t="array" ref="M440">INDEX(begin!G:G,MATCH(1, (all_inputs!A440=begin!A:A)*(all_inputs!J440=begin!C:C),0))</f>
        <v>4.5000000000000005E-2</v>
      </c>
      <c r="N440" s="4">
        <f>VLOOKUP(A440,ui!A$37:C$52,3,FALSE)</f>
        <v>4.5000000000000005E-2</v>
      </c>
      <c r="O440" s="4" cm="1">
        <f t="array" ref="O440">INDEX(end!E:E,MATCH(1, (all_inputs!A440=end!A:A)*(all_inputs!J440=end!C:C),0))</f>
        <v>0</v>
      </c>
      <c r="P440" s="4" cm="1">
        <f t="array" ref="P440">INDEX(end!F:F,MATCH(1, (all_inputs!A440=end!A:A)*(all_inputs!J440=end!C:C),0))</f>
        <v>0.8</v>
      </c>
      <c r="Q440" s="4" cm="1">
        <f t="array" ref="Q440">INDEX(end!G:G,MATCH(1, (all_inputs!A440=end!A:A)*(all_inputs!J440=end!C:C),0))</f>
        <v>0.72000000000000008</v>
      </c>
      <c r="R440" s="4">
        <f>VLOOKUP(A440,ui!A$37:G$52,4,FALSE)</f>
        <v>4.0500000000000008E-2</v>
      </c>
      <c r="S440" s="4" cm="1">
        <f t="array" ref="S440">INDEX(begin!I:I,MATCH(1, (all_inputs!A440=begin!A:A)*(all_inputs!J440=begin!C:C),0))</f>
        <v>0</v>
      </c>
      <c r="T440" s="4" cm="1">
        <f t="array" ref="T440">INDEX(begin!J:J,MATCH(1, (all_inputs!A440=begin!A:A)*(all_inputs!J440=begin!C:C),0))</f>
        <v>1</v>
      </c>
      <c r="U440" s="4" cm="1">
        <f t="array" ref="U440">INDEX(begin!K:K,MATCH(1, (all_inputs!A440=begin!A:A)*(all_inputs!J440=begin!C:C),0))</f>
        <v>0</v>
      </c>
      <c r="V440" s="4" cm="1">
        <f t="array" ref="V440">INDEX(begin!L:L,MATCH(1, (all_inputs!A440=begin!A:A)*(all_inputs!J440=begin!C:C),0))</f>
        <v>0</v>
      </c>
      <c r="W440" s="4" cm="1">
        <f t="array" ref="W440">_xlfn.IFNA(INDEX(end!I:I,MATCH(1, (all_inputs!A440=end!A:A)*(all_inputs!J440=end!C:C),0)),"")</f>
        <v>0</v>
      </c>
      <c r="X440" s="4" cm="1">
        <f t="array" ref="X440">_xlfn.IFNA(INDEX(end!J:J,MATCH(1, (all_inputs!A440=end!A:A)*(all_inputs!J440=end!C:C),0)),"")</f>
        <v>1</v>
      </c>
      <c r="Y440" s="4" cm="1">
        <f t="array" ref="Y440">_xlfn.IFNA(INDEX(end!K:K,MATCH(1, (all_inputs!A440=end!A:A)*(all_inputs!J440=end!C:C),0)),"")</f>
        <v>0</v>
      </c>
      <c r="Z440" s="4" cm="1">
        <f t="array" ref="Z440">_xlfn.IFNA(INDEX(end!L:L,MATCH(1, (all_inputs!A440=end!A:A)*(all_inputs!J440=end!C:C),0)),"")</f>
        <v>0</v>
      </c>
      <c r="AA440" t="b">
        <f>VLOOKUP(A440,ui!A$37:B$52,2,FALSE)</f>
        <v>0</v>
      </c>
    </row>
    <row r="441" spans="1:27" x14ac:dyDescent="0.25">
      <c r="A441" t="s">
        <v>27</v>
      </c>
      <c r="B441" s="40">
        <f>IF(COUNTIF(dropdown!B$2:B$12,all_inputs!A441)=1,1,IF(COUNTIF(dropdown!C$2:C$4,all_inputs!A441)=1,2,IF(COUNTIF(dropdown!D$2:D$3,all_inputs!A441)=1,3,"?")))</f>
        <v>1</v>
      </c>
      <c r="C441" t="s">
        <v>14</v>
      </c>
      <c r="D441" t="s">
        <v>466</v>
      </c>
      <c r="E441" t="s">
        <v>440</v>
      </c>
      <c r="F441">
        <f>RR!C11</f>
        <v>1</v>
      </c>
      <c r="G441" s="4">
        <f>ui!B$4</f>
        <v>2025</v>
      </c>
      <c r="H441" s="4">
        <f>ui!B$5</f>
        <v>2050</v>
      </c>
      <c r="I441" s="4" t="s">
        <v>93</v>
      </c>
      <c r="J441" s="4" t="str">
        <f>VLOOKUP(ui!B$2,dropdown!M:O,3,FALSE)</f>
        <v>LIC</v>
      </c>
      <c r="K441" s="4" cm="1">
        <f t="array" ref="K441">INDEX(begin!E:E,MATCH(1, (all_inputs!A441=begin!A:A)*(all_inputs!J441=begin!C:C),0))</f>
        <v>0</v>
      </c>
      <c r="L441" s="4" cm="1">
        <f t="array" ref="L441">INDEX(begin!F:F,MATCH(1, (all_inputs!A441=begin!A:A)*(all_inputs!J441=begin!C:C),0))</f>
        <v>0.05</v>
      </c>
      <c r="M441" s="4" cm="1">
        <f t="array" ref="M441">INDEX(begin!G:G,MATCH(1, (all_inputs!A441=begin!A:A)*(all_inputs!J441=begin!C:C),0))</f>
        <v>4.5000000000000005E-2</v>
      </c>
      <c r="N441" s="4">
        <f>VLOOKUP(A441,ui!A$37:C$52,3,FALSE)</f>
        <v>4.5000000000000005E-2</v>
      </c>
      <c r="O441" s="4" cm="1">
        <f t="array" ref="O441">INDEX(end!E:E,MATCH(1, (all_inputs!A441=end!A:A)*(all_inputs!J441=end!C:C),0))</f>
        <v>0</v>
      </c>
      <c r="P441" s="4" cm="1">
        <f t="array" ref="P441">INDEX(end!F:F,MATCH(1, (all_inputs!A441=end!A:A)*(all_inputs!J441=end!C:C),0))</f>
        <v>0.8</v>
      </c>
      <c r="Q441" s="4" cm="1">
        <f t="array" ref="Q441">INDEX(end!G:G,MATCH(1, (all_inputs!A441=end!A:A)*(all_inputs!J441=end!C:C),0))</f>
        <v>0.72000000000000008</v>
      </c>
      <c r="R441" s="4">
        <f>VLOOKUP(A441,ui!A$37:G$52,4,FALSE)</f>
        <v>4.0500000000000008E-2</v>
      </c>
      <c r="S441" s="4" cm="1">
        <f t="array" ref="S441">INDEX(begin!I:I,MATCH(1, (all_inputs!A441=begin!A:A)*(all_inputs!J441=begin!C:C),0))</f>
        <v>0</v>
      </c>
      <c r="T441" s="4" cm="1">
        <f t="array" ref="T441">INDEX(begin!J:J,MATCH(1, (all_inputs!A441=begin!A:A)*(all_inputs!J441=begin!C:C),0))</f>
        <v>1</v>
      </c>
      <c r="U441" s="4" cm="1">
        <f t="array" ref="U441">INDEX(begin!K:K,MATCH(1, (all_inputs!A441=begin!A:A)*(all_inputs!J441=begin!C:C),0))</f>
        <v>0</v>
      </c>
      <c r="V441" s="4" cm="1">
        <f t="array" ref="V441">INDEX(begin!L:L,MATCH(1, (all_inputs!A441=begin!A:A)*(all_inputs!J441=begin!C:C),0))</f>
        <v>0</v>
      </c>
      <c r="W441" s="4" cm="1">
        <f t="array" ref="W441">_xlfn.IFNA(INDEX(end!I:I,MATCH(1, (all_inputs!A441=end!A:A)*(all_inputs!J441=end!C:C),0)),"")</f>
        <v>0</v>
      </c>
      <c r="X441" s="4" cm="1">
        <f t="array" ref="X441">_xlfn.IFNA(INDEX(end!J:J,MATCH(1, (all_inputs!A441=end!A:A)*(all_inputs!J441=end!C:C),0)),"")</f>
        <v>1</v>
      </c>
      <c r="Y441" s="4" cm="1">
        <f t="array" ref="Y441">_xlfn.IFNA(INDEX(end!K:K,MATCH(1, (all_inputs!A441=end!A:A)*(all_inputs!J441=end!C:C),0)),"")</f>
        <v>0</v>
      </c>
      <c r="Z441" s="4" cm="1">
        <f t="array" ref="Z441">_xlfn.IFNA(INDEX(end!L:L,MATCH(1, (all_inputs!A441=end!A:A)*(all_inputs!J441=end!C:C),0)),"")</f>
        <v>0</v>
      </c>
      <c r="AA441" t="b">
        <f>VLOOKUP(A441,ui!A$37:B$52,2,FALSE)</f>
        <v>0</v>
      </c>
    </row>
    <row r="442" spans="1:27" x14ac:dyDescent="0.25">
      <c r="A442" t="s">
        <v>27</v>
      </c>
      <c r="B442" s="40">
        <f>IF(COUNTIF(dropdown!B$2:B$12,all_inputs!A442)=1,1,IF(COUNTIF(dropdown!C$2:C$4,all_inputs!A442)=1,2,IF(COUNTIF(dropdown!D$2:D$3,all_inputs!A442)=1,3,"?")))</f>
        <v>1</v>
      </c>
      <c r="C442" t="s">
        <v>15</v>
      </c>
      <c r="D442" t="s">
        <v>466</v>
      </c>
      <c r="E442" t="s">
        <v>440</v>
      </c>
      <c r="F442" s="4">
        <v>1</v>
      </c>
      <c r="G442" s="4">
        <f>ui!B$4</f>
        <v>2025</v>
      </c>
      <c r="H442" s="4">
        <f>ui!B$5</f>
        <v>2050</v>
      </c>
      <c r="I442" s="4" t="s">
        <v>93</v>
      </c>
      <c r="J442" s="4" t="str">
        <f>VLOOKUP(ui!B$2,dropdown!M:O,3,FALSE)</f>
        <v>LIC</v>
      </c>
      <c r="K442" s="4" cm="1">
        <f t="array" ref="K442">INDEX(begin!E:E,MATCH(1, (all_inputs!A442=begin!A:A)*(all_inputs!J442=begin!C:C),0))</f>
        <v>0</v>
      </c>
      <c r="L442" s="4" cm="1">
        <f t="array" ref="L442">INDEX(begin!F:F,MATCH(1, (all_inputs!A442=begin!A:A)*(all_inputs!J442=begin!C:C),0))</f>
        <v>0.05</v>
      </c>
      <c r="M442" s="4" cm="1">
        <f t="array" ref="M442">INDEX(begin!G:G,MATCH(1, (all_inputs!A442=begin!A:A)*(all_inputs!J442=begin!C:C),0))</f>
        <v>4.5000000000000005E-2</v>
      </c>
      <c r="N442" s="4">
        <f>VLOOKUP(A442,ui!A$37:C$52,3,FALSE)</f>
        <v>4.5000000000000005E-2</v>
      </c>
      <c r="O442" s="4" cm="1">
        <f t="array" ref="O442">INDEX(end!E:E,MATCH(1, (all_inputs!A442=end!A:A)*(all_inputs!J442=end!C:C),0))</f>
        <v>0</v>
      </c>
      <c r="P442" s="4" cm="1">
        <f t="array" ref="P442">INDEX(end!F:F,MATCH(1, (all_inputs!A442=end!A:A)*(all_inputs!J442=end!C:C),0))</f>
        <v>0.8</v>
      </c>
      <c r="Q442" s="4" cm="1">
        <f t="array" ref="Q442">INDEX(end!G:G,MATCH(1, (all_inputs!A442=end!A:A)*(all_inputs!J442=end!C:C),0))</f>
        <v>0.72000000000000008</v>
      </c>
      <c r="R442" s="4">
        <f>VLOOKUP(A442,ui!A$37:G$52,4,FALSE)</f>
        <v>4.0500000000000008E-2</v>
      </c>
      <c r="S442" s="4" cm="1">
        <f t="array" ref="S442">INDEX(begin!I:I,MATCH(1, (all_inputs!A442=begin!A:A)*(all_inputs!J442=begin!C:C),0))</f>
        <v>0</v>
      </c>
      <c r="T442" s="4" cm="1">
        <f t="array" ref="T442">INDEX(begin!J:J,MATCH(1, (all_inputs!A442=begin!A:A)*(all_inputs!J442=begin!C:C),0))</f>
        <v>1</v>
      </c>
      <c r="U442" s="4" cm="1">
        <f t="array" ref="U442">INDEX(begin!K:K,MATCH(1, (all_inputs!A442=begin!A:A)*(all_inputs!J442=begin!C:C),0))</f>
        <v>0</v>
      </c>
      <c r="V442" s="4" cm="1">
        <f t="array" ref="V442">INDEX(begin!L:L,MATCH(1, (all_inputs!A442=begin!A:A)*(all_inputs!J442=begin!C:C),0))</f>
        <v>0</v>
      </c>
      <c r="W442" s="4" cm="1">
        <f t="array" ref="W442">_xlfn.IFNA(INDEX(end!I:I,MATCH(1, (all_inputs!A442=end!A:A)*(all_inputs!J442=end!C:C),0)),"")</f>
        <v>0</v>
      </c>
      <c r="X442" s="4" cm="1">
        <f t="array" ref="X442">_xlfn.IFNA(INDEX(end!J:J,MATCH(1, (all_inputs!A442=end!A:A)*(all_inputs!J442=end!C:C),0)),"")</f>
        <v>1</v>
      </c>
      <c r="Y442" s="4" cm="1">
        <f t="array" ref="Y442">_xlfn.IFNA(INDEX(end!K:K,MATCH(1, (all_inputs!A442=end!A:A)*(all_inputs!J442=end!C:C),0)),"")</f>
        <v>0</v>
      </c>
      <c r="Z442" s="4" cm="1">
        <f t="array" ref="Z442">_xlfn.IFNA(INDEX(end!L:L,MATCH(1, (all_inputs!A442=end!A:A)*(all_inputs!J442=end!C:C),0)),"")</f>
        <v>0</v>
      </c>
      <c r="AA442" t="b">
        <f>VLOOKUP(A442,ui!A$37:B$52,2,FALSE)</f>
        <v>0</v>
      </c>
    </row>
    <row r="443" spans="1:27" x14ac:dyDescent="0.25">
      <c r="A443" t="s">
        <v>27</v>
      </c>
      <c r="B443" s="40">
        <f>IF(COUNTIF(dropdown!B$2:B$12,all_inputs!A443)=1,1,IF(COUNTIF(dropdown!C$2:C$4,all_inputs!A443)=1,2,IF(COUNTIF(dropdown!D$2:D$3,all_inputs!A443)=1,3,"?")))</f>
        <v>1</v>
      </c>
      <c r="C443" t="s">
        <v>16</v>
      </c>
      <c r="D443" t="s">
        <v>467</v>
      </c>
      <c r="E443" t="s">
        <v>440</v>
      </c>
      <c r="F443" s="4">
        <v>1</v>
      </c>
      <c r="G443" s="4">
        <f>ui!B$4</f>
        <v>2025</v>
      </c>
      <c r="H443" s="4">
        <f>ui!B$5</f>
        <v>2050</v>
      </c>
      <c r="I443" s="4" t="s">
        <v>93</v>
      </c>
      <c r="J443" s="4" t="str">
        <f>VLOOKUP(ui!B$2,dropdown!M:O,3,FALSE)</f>
        <v>LIC</v>
      </c>
      <c r="K443" s="4" cm="1">
        <f t="array" ref="K443">INDEX(begin!E:E,MATCH(1, (all_inputs!A443=begin!A:A)*(all_inputs!J443=begin!C:C),0))</f>
        <v>0</v>
      </c>
      <c r="L443" s="4" cm="1">
        <f t="array" ref="L443">INDEX(begin!F:F,MATCH(1, (all_inputs!A443=begin!A:A)*(all_inputs!J443=begin!C:C),0))</f>
        <v>0.05</v>
      </c>
      <c r="M443" s="4" cm="1">
        <f t="array" ref="M443">INDEX(begin!G:G,MATCH(1, (all_inputs!A443=begin!A:A)*(all_inputs!J443=begin!C:C),0))</f>
        <v>4.5000000000000005E-2</v>
      </c>
      <c r="N443" s="4">
        <f>VLOOKUP(A443,ui!A$37:C$52,3,FALSE)</f>
        <v>4.5000000000000005E-2</v>
      </c>
      <c r="O443" s="4" cm="1">
        <f t="array" ref="O443">INDEX(end!E:E,MATCH(1, (all_inputs!A443=end!A:A)*(all_inputs!J443=end!C:C),0))</f>
        <v>0</v>
      </c>
      <c r="P443" s="4" cm="1">
        <f t="array" ref="P443">INDEX(end!F:F,MATCH(1, (all_inputs!A443=end!A:A)*(all_inputs!J443=end!C:C),0))</f>
        <v>0.8</v>
      </c>
      <c r="Q443" s="4" cm="1">
        <f t="array" ref="Q443">INDEX(end!G:G,MATCH(1, (all_inputs!A443=end!A:A)*(all_inputs!J443=end!C:C),0))</f>
        <v>0.72000000000000008</v>
      </c>
      <c r="R443" s="4">
        <f>VLOOKUP(A443,ui!A$37:G$52,4,FALSE)</f>
        <v>4.0500000000000008E-2</v>
      </c>
      <c r="S443" s="4" cm="1">
        <f t="array" ref="S443">INDEX(begin!I:I,MATCH(1, (all_inputs!A443=begin!A:A)*(all_inputs!J443=begin!C:C),0))</f>
        <v>0</v>
      </c>
      <c r="T443" s="4" cm="1">
        <f t="array" ref="T443">INDEX(begin!J:J,MATCH(1, (all_inputs!A443=begin!A:A)*(all_inputs!J443=begin!C:C),0))</f>
        <v>1</v>
      </c>
      <c r="U443" s="4" cm="1">
        <f t="array" ref="U443">INDEX(begin!K:K,MATCH(1, (all_inputs!A443=begin!A:A)*(all_inputs!J443=begin!C:C),0))</f>
        <v>0</v>
      </c>
      <c r="V443" s="4" cm="1">
        <f t="array" ref="V443">INDEX(begin!L:L,MATCH(1, (all_inputs!A443=begin!A:A)*(all_inputs!J443=begin!C:C),0))</f>
        <v>0</v>
      </c>
      <c r="W443" s="4" cm="1">
        <f t="array" ref="W443">_xlfn.IFNA(INDEX(end!I:I,MATCH(1, (all_inputs!A443=end!A:A)*(all_inputs!J443=end!C:C),0)),"")</f>
        <v>0</v>
      </c>
      <c r="X443" s="4" cm="1">
        <f t="array" ref="X443">_xlfn.IFNA(INDEX(end!J:J,MATCH(1, (all_inputs!A443=end!A:A)*(all_inputs!J443=end!C:C),0)),"")</f>
        <v>1</v>
      </c>
      <c r="Y443" s="4" cm="1">
        <f t="array" ref="Y443">_xlfn.IFNA(INDEX(end!K:K,MATCH(1, (all_inputs!A443=end!A:A)*(all_inputs!J443=end!C:C),0)),"")</f>
        <v>0</v>
      </c>
      <c r="Z443" s="4" cm="1">
        <f t="array" ref="Z443">_xlfn.IFNA(INDEX(end!L:L,MATCH(1, (all_inputs!A443=end!A:A)*(all_inputs!J443=end!C:C),0)),"")</f>
        <v>0</v>
      </c>
      <c r="AA443" t="b">
        <f>VLOOKUP(A443,ui!A$37:B$52,2,FALSE)</f>
        <v>0</v>
      </c>
    </row>
    <row r="444" spans="1:27" x14ac:dyDescent="0.25">
      <c r="A444" t="s">
        <v>27</v>
      </c>
      <c r="B444" s="40">
        <f>IF(COUNTIF(dropdown!B$2:B$12,all_inputs!A444)=1,1,IF(COUNTIF(dropdown!C$2:C$4,all_inputs!A444)=1,2,IF(COUNTIF(dropdown!D$2:D$3,all_inputs!A444)=1,3,"?")))</f>
        <v>1</v>
      </c>
      <c r="C444" t="s">
        <v>17</v>
      </c>
      <c r="D444" t="s">
        <v>468</v>
      </c>
      <c r="E444" t="s">
        <v>440</v>
      </c>
      <c r="F444" s="4">
        <v>1</v>
      </c>
      <c r="G444" s="4">
        <f>ui!B$4</f>
        <v>2025</v>
      </c>
      <c r="H444" s="4">
        <f>ui!B$5</f>
        <v>2050</v>
      </c>
      <c r="I444" s="4" t="s">
        <v>93</v>
      </c>
      <c r="J444" s="4" t="str">
        <f>VLOOKUP(ui!B$2,dropdown!M:O,3,FALSE)</f>
        <v>LIC</v>
      </c>
      <c r="K444" s="4" cm="1">
        <f t="array" ref="K444">INDEX(begin!E:E,MATCH(1, (all_inputs!A444=begin!A:A)*(all_inputs!J444=begin!C:C),0))</f>
        <v>0</v>
      </c>
      <c r="L444" s="4" cm="1">
        <f t="array" ref="L444">INDEX(begin!F:F,MATCH(1, (all_inputs!A444=begin!A:A)*(all_inputs!J444=begin!C:C),0))</f>
        <v>0.05</v>
      </c>
      <c r="M444" s="4" cm="1">
        <f t="array" ref="M444">INDEX(begin!G:G,MATCH(1, (all_inputs!A444=begin!A:A)*(all_inputs!J444=begin!C:C),0))</f>
        <v>4.5000000000000005E-2</v>
      </c>
      <c r="N444" s="4">
        <f>VLOOKUP(A444,ui!A$37:C$52,3,FALSE)</f>
        <v>4.5000000000000005E-2</v>
      </c>
      <c r="O444" s="4" cm="1">
        <f t="array" ref="O444">INDEX(end!E:E,MATCH(1, (all_inputs!A444=end!A:A)*(all_inputs!J444=end!C:C),0))</f>
        <v>0</v>
      </c>
      <c r="P444" s="4" cm="1">
        <f t="array" ref="P444">INDEX(end!F:F,MATCH(1, (all_inputs!A444=end!A:A)*(all_inputs!J444=end!C:C),0))</f>
        <v>0.8</v>
      </c>
      <c r="Q444" s="4" cm="1">
        <f t="array" ref="Q444">INDEX(end!G:G,MATCH(1, (all_inputs!A444=end!A:A)*(all_inputs!J444=end!C:C),0))</f>
        <v>0.72000000000000008</v>
      </c>
      <c r="R444" s="4">
        <f>VLOOKUP(A444,ui!A$37:G$52,4,FALSE)</f>
        <v>4.0500000000000008E-2</v>
      </c>
      <c r="S444" s="4" cm="1">
        <f t="array" ref="S444">INDEX(begin!I:I,MATCH(1, (all_inputs!A444=begin!A:A)*(all_inputs!J444=begin!C:C),0))</f>
        <v>0</v>
      </c>
      <c r="T444" s="4" cm="1">
        <f t="array" ref="T444">INDEX(begin!J:J,MATCH(1, (all_inputs!A444=begin!A:A)*(all_inputs!J444=begin!C:C),0))</f>
        <v>1</v>
      </c>
      <c r="U444" s="4" cm="1">
        <f t="array" ref="U444">INDEX(begin!K:K,MATCH(1, (all_inputs!A444=begin!A:A)*(all_inputs!J444=begin!C:C),0))</f>
        <v>0</v>
      </c>
      <c r="V444" s="4" cm="1">
        <f t="array" ref="V444">INDEX(begin!L:L,MATCH(1, (all_inputs!A444=begin!A:A)*(all_inputs!J444=begin!C:C),0))</f>
        <v>0</v>
      </c>
      <c r="W444" s="4" cm="1">
        <f t="array" ref="W444">_xlfn.IFNA(INDEX(end!I:I,MATCH(1, (all_inputs!A444=end!A:A)*(all_inputs!J444=end!C:C),0)),"")</f>
        <v>0</v>
      </c>
      <c r="X444" s="4" cm="1">
        <f t="array" ref="X444">_xlfn.IFNA(INDEX(end!J:J,MATCH(1, (all_inputs!A444=end!A:A)*(all_inputs!J444=end!C:C),0)),"")</f>
        <v>1</v>
      </c>
      <c r="Y444" s="4" cm="1">
        <f t="array" ref="Y444">_xlfn.IFNA(INDEX(end!K:K,MATCH(1, (all_inputs!A444=end!A:A)*(all_inputs!J444=end!C:C),0)),"")</f>
        <v>0</v>
      </c>
      <c r="Z444" s="4" cm="1">
        <f t="array" ref="Z444">_xlfn.IFNA(INDEX(end!L:L,MATCH(1, (all_inputs!A444=end!A:A)*(all_inputs!J444=end!C:C),0)),"")</f>
        <v>0</v>
      </c>
      <c r="AA444" t="b">
        <f>VLOOKUP(A444,ui!A$37:B$52,2,FALSE)</f>
        <v>0</v>
      </c>
    </row>
    <row r="445" spans="1:27" x14ac:dyDescent="0.25">
      <c r="A445" s="2" t="s">
        <v>27</v>
      </c>
      <c r="B445" s="41">
        <f>IF(COUNTIF(dropdown!B$2:B$12,all_inputs!A445)=1,1,IF(COUNTIF(dropdown!C$2:C$4,all_inputs!A445)=1,2,IF(COUNTIF(dropdown!D$2:D$3,all_inputs!A445)=1,3,"?")))</f>
        <v>1</v>
      </c>
      <c r="C445" s="2" t="s">
        <v>18</v>
      </c>
      <c r="D445" s="2" t="s">
        <v>469</v>
      </c>
      <c r="E445" s="2" t="s">
        <v>440</v>
      </c>
      <c r="F445" s="2">
        <f>RR!F11</f>
        <v>0.9</v>
      </c>
      <c r="G445" s="5">
        <f>ui!B$4</f>
        <v>2025</v>
      </c>
      <c r="H445" s="5">
        <f>ui!B$5</f>
        <v>2050</v>
      </c>
      <c r="I445" s="5" t="s">
        <v>93</v>
      </c>
      <c r="J445" s="5" t="str">
        <f>VLOOKUP(ui!B$2,dropdown!M:O,3,FALSE)</f>
        <v>LIC</v>
      </c>
      <c r="K445" s="5" cm="1">
        <f t="array" ref="K445">INDEX(begin!E:E,MATCH(1, (all_inputs!A445=begin!A:A)*(all_inputs!J445=begin!C:C),0))</f>
        <v>0</v>
      </c>
      <c r="L445" s="5" cm="1">
        <f t="array" ref="L445">INDEX(begin!F:F,MATCH(1, (all_inputs!A445=begin!A:A)*(all_inputs!J445=begin!C:C),0))</f>
        <v>0.05</v>
      </c>
      <c r="M445" s="5" cm="1">
        <f t="array" ref="M445">INDEX(begin!G:G,MATCH(1, (all_inputs!A445=begin!A:A)*(all_inputs!J445=begin!C:C),0))</f>
        <v>4.5000000000000005E-2</v>
      </c>
      <c r="N445" s="5">
        <f>VLOOKUP(A445,ui!A$37:C$52,3,FALSE)</f>
        <v>4.5000000000000005E-2</v>
      </c>
      <c r="O445" s="5" cm="1">
        <f t="array" ref="O445">INDEX(end!E:E,MATCH(1, (all_inputs!A445=end!A:A)*(all_inputs!J445=end!C:C),0))</f>
        <v>0</v>
      </c>
      <c r="P445" s="5" cm="1">
        <f t="array" ref="P445">INDEX(end!F:F,MATCH(1, (all_inputs!A445=end!A:A)*(all_inputs!J445=end!C:C),0))</f>
        <v>0.8</v>
      </c>
      <c r="Q445" s="5" cm="1">
        <f t="array" ref="Q445">INDEX(end!G:G,MATCH(1, (all_inputs!A445=end!A:A)*(all_inputs!J445=end!C:C),0))</f>
        <v>0.72000000000000008</v>
      </c>
      <c r="R445" s="5">
        <f>VLOOKUP(A445,ui!A$37:G$52,4,FALSE)</f>
        <v>4.0500000000000008E-2</v>
      </c>
      <c r="S445" s="5" cm="1">
        <f t="array" ref="S445">INDEX(begin!I:I,MATCH(1, (all_inputs!A445=begin!A:A)*(all_inputs!J445=begin!C:C),0))</f>
        <v>0</v>
      </c>
      <c r="T445" s="5" cm="1">
        <f t="array" ref="T445">INDEX(begin!J:J,MATCH(1, (all_inputs!A445=begin!A:A)*(all_inputs!J445=begin!C:C),0))</f>
        <v>1</v>
      </c>
      <c r="U445" s="5" cm="1">
        <f t="array" ref="U445">INDEX(begin!K:K,MATCH(1, (all_inputs!A445=begin!A:A)*(all_inputs!J445=begin!C:C),0))</f>
        <v>0</v>
      </c>
      <c r="V445" s="5" cm="1">
        <f t="array" ref="V445">INDEX(begin!L:L,MATCH(1, (all_inputs!A445=begin!A:A)*(all_inputs!J445=begin!C:C),0))</f>
        <v>0</v>
      </c>
      <c r="W445" s="5" cm="1">
        <f t="array" ref="W445">_xlfn.IFNA(INDEX(end!I:I,MATCH(1, (all_inputs!A445=end!A:A)*(all_inputs!J445=end!C:C),0)),"")</f>
        <v>0</v>
      </c>
      <c r="X445" s="5" cm="1">
        <f t="array" ref="X445">_xlfn.IFNA(INDEX(end!J:J,MATCH(1, (all_inputs!A445=end!A:A)*(all_inputs!J445=end!C:C),0)),"")</f>
        <v>1</v>
      </c>
      <c r="Y445" s="5" cm="1">
        <f t="array" ref="Y445">_xlfn.IFNA(INDEX(end!K:K,MATCH(1, (all_inputs!A445=end!A:A)*(all_inputs!J445=end!C:C),0)),"")</f>
        <v>0</v>
      </c>
      <c r="Z445" s="5" cm="1">
        <f t="array" ref="Z445">_xlfn.IFNA(INDEX(end!L:L,MATCH(1, (all_inputs!A445=end!A:A)*(all_inputs!J445=end!C:C),0)),"")</f>
        <v>0</v>
      </c>
      <c r="AA445" s="2" t="b">
        <f>VLOOKUP(A445,ui!A$37:B$52,2,FALSE)</f>
        <v>0</v>
      </c>
    </row>
    <row r="446" spans="1:27" x14ac:dyDescent="0.25">
      <c r="A446" t="s">
        <v>28</v>
      </c>
      <c r="B446" s="40">
        <f>IF(COUNTIF(dropdown!B$2:B$12,all_inputs!A446)=1,1,IF(COUNTIF(dropdown!C$2:C$4,all_inputs!A446)=1,2,IF(COUNTIF(dropdown!D$2:D$3,all_inputs!A446)=1,3,"?")))</f>
        <v>1</v>
      </c>
      <c r="C446" t="s">
        <v>13</v>
      </c>
      <c r="D446" t="s">
        <v>472</v>
      </c>
      <c r="E446" t="s">
        <v>440</v>
      </c>
      <c r="F446" s="4" cm="1">
        <f t="array" ref="F446">IF(B446&lt;&gt;3,1,_xlfn.IFNA(INDEX(#REF!,MATCH(1, (all_inputs!A446=#REF!)*(all_inputs!D446=#REF!),0)),1))</f>
        <v>1</v>
      </c>
      <c r="G446" s="4">
        <f>ui!B$4</f>
        <v>2025</v>
      </c>
      <c r="H446" s="4">
        <f>ui!B$5</f>
        <v>2050</v>
      </c>
      <c r="I446" s="4" t="s">
        <v>93</v>
      </c>
      <c r="J446" s="4" t="str">
        <f>VLOOKUP(ui!B$2,dropdown!M:O,3,FALSE)</f>
        <v>LIC</v>
      </c>
      <c r="K446" s="4" cm="1">
        <f t="array" ref="K446">INDEX(begin!E:E,MATCH(1, (all_inputs!A446=begin!A:A)*(all_inputs!J446=begin!C:C),0))</f>
        <v>0</v>
      </c>
      <c r="L446" s="4" cm="1">
        <f t="array" ref="L446">INDEX(begin!F:F,MATCH(1, (all_inputs!A446=begin!A:A)*(all_inputs!J446=begin!C:C),0))</f>
        <v>0.05</v>
      </c>
      <c r="M446" s="4" cm="1">
        <f t="array" ref="M446">INDEX(begin!G:G,MATCH(1, (all_inputs!A446=begin!A:A)*(all_inputs!J446=begin!C:C),0))</f>
        <v>4.5000000000000005E-2</v>
      </c>
      <c r="N446" s="4">
        <f>VLOOKUP(A446,ui!A$37:C$52,3,FALSE)</f>
        <v>4.5000000000000005E-2</v>
      </c>
      <c r="O446" s="4" cm="1">
        <f t="array" ref="O446">INDEX(end!E:E,MATCH(1, (all_inputs!A446=end!A:A)*(all_inputs!J446=end!C:C),0))</f>
        <v>0</v>
      </c>
      <c r="P446" s="4" cm="1">
        <f t="array" ref="P446">INDEX(end!F:F,MATCH(1, (all_inputs!A446=end!A:A)*(all_inputs!J446=end!C:C),0))</f>
        <v>0.8</v>
      </c>
      <c r="Q446" s="4" cm="1">
        <f t="array" ref="Q446">INDEX(end!G:G,MATCH(1, (all_inputs!A446=end!A:A)*(all_inputs!J446=end!C:C),0))</f>
        <v>0.72000000000000008</v>
      </c>
      <c r="R446" s="4">
        <f>VLOOKUP(A446,ui!A$37:G$52,4,FALSE)</f>
        <v>4.0500000000000008E-2</v>
      </c>
      <c r="S446" s="4" cm="1">
        <f t="array" ref="S446">INDEX(begin!I:I,MATCH(1, (all_inputs!A446=begin!A:A)*(all_inputs!J446=begin!C:C),0))</f>
        <v>0</v>
      </c>
      <c r="T446" s="4" cm="1">
        <f t="array" ref="T446">INDEX(begin!J:J,MATCH(1, (all_inputs!A446=begin!A:A)*(all_inputs!J446=begin!C:C),0))</f>
        <v>1</v>
      </c>
      <c r="U446" s="4" cm="1">
        <f t="array" ref="U446">INDEX(begin!K:K,MATCH(1, (all_inputs!A446=begin!A:A)*(all_inputs!J446=begin!C:C),0))</f>
        <v>0</v>
      </c>
      <c r="V446" s="4" cm="1">
        <f t="array" ref="V446">INDEX(begin!L:L,MATCH(1, (all_inputs!A446=begin!A:A)*(all_inputs!J446=begin!C:C),0))</f>
        <v>0</v>
      </c>
      <c r="W446" s="4" cm="1">
        <f t="array" ref="W446">_xlfn.IFNA(INDEX(end!I:I,MATCH(1, (all_inputs!A446=end!A:A)*(all_inputs!J446=end!C:C),0)),"")</f>
        <v>0</v>
      </c>
      <c r="X446" s="4" cm="1">
        <f t="array" ref="X446">_xlfn.IFNA(INDEX(end!J:J,MATCH(1, (all_inputs!A446=end!A:A)*(all_inputs!J446=end!C:C),0)),"")</f>
        <v>1</v>
      </c>
      <c r="Y446" s="4" cm="1">
        <f t="array" ref="Y446">_xlfn.IFNA(INDEX(end!K:K,MATCH(1, (all_inputs!A446=end!A:A)*(all_inputs!J446=end!C:C),0)),"")</f>
        <v>0</v>
      </c>
      <c r="Z446" s="4" cm="1">
        <f t="array" ref="Z446">_xlfn.IFNA(INDEX(end!L:L,MATCH(1, (all_inputs!A446=end!A:A)*(all_inputs!J446=end!C:C),0)),"")</f>
        <v>0</v>
      </c>
      <c r="AA446" t="b">
        <f>VLOOKUP(A446,ui!A$37:B$52,2,FALSE)</f>
        <v>0</v>
      </c>
    </row>
    <row r="447" spans="1:27" x14ac:dyDescent="0.25">
      <c r="A447" t="s">
        <v>28</v>
      </c>
      <c r="B447" s="40">
        <f>IF(COUNTIF(dropdown!B$2:B$12,all_inputs!A447)=1,1,IF(COUNTIF(dropdown!C$2:C$4,all_inputs!A447)=1,2,IF(COUNTIF(dropdown!D$2:D$3,all_inputs!A447)=1,3,"?")))</f>
        <v>1</v>
      </c>
      <c r="C447" t="s">
        <v>14</v>
      </c>
      <c r="D447" t="s">
        <v>466</v>
      </c>
      <c r="E447" t="s">
        <v>440</v>
      </c>
      <c r="F447">
        <f>RR!C12</f>
        <v>1</v>
      </c>
      <c r="G447" s="4">
        <f>ui!B$4</f>
        <v>2025</v>
      </c>
      <c r="H447" s="4">
        <f>ui!B$5</f>
        <v>2050</v>
      </c>
      <c r="I447" s="4" t="s">
        <v>93</v>
      </c>
      <c r="J447" s="4" t="str">
        <f>VLOOKUP(ui!B$2,dropdown!M:O,3,FALSE)</f>
        <v>LIC</v>
      </c>
      <c r="K447" s="4" cm="1">
        <f t="array" ref="K447">INDEX(begin!E:E,MATCH(1, (all_inputs!A447=begin!A:A)*(all_inputs!J447=begin!C:C),0))</f>
        <v>0</v>
      </c>
      <c r="L447" s="4" cm="1">
        <f t="array" ref="L447">INDEX(begin!F:F,MATCH(1, (all_inputs!A447=begin!A:A)*(all_inputs!J447=begin!C:C),0))</f>
        <v>0.05</v>
      </c>
      <c r="M447" s="4" cm="1">
        <f t="array" ref="M447">INDEX(begin!G:G,MATCH(1, (all_inputs!A447=begin!A:A)*(all_inputs!J447=begin!C:C),0))</f>
        <v>4.5000000000000005E-2</v>
      </c>
      <c r="N447" s="4">
        <f>VLOOKUP(A447,ui!A$37:C$52,3,FALSE)</f>
        <v>4.5000000000000005E-2</v>
      </c>
      <c r="O447" s="4" cm="1">
        <f t="array" ref="O447">INDEX(end!E:E,MATCH(1, (all_inputs!A447=end!A:A)*(all_inputs!J447=end!C:C),0))</f>
        <v>0</v>
      </c>
      <c r="P447" s="4" cm="1">
        <f t="array" ref="P447">INDEX(end!F:F,MATCH(1, (all_inputs!A447=end!A:A)*(all_inputs!J447=end!C:C),0))</f>
        <v>0.8</v>
      </c>
      <c r="Q447" s="4" cm="1">
        <f t="array" ref="Q447">INDEX(end!G:G,MATCH(1, (all_inputs!A447=end!A:A)*(all_inputs!J447=end!C:C),0))</f>
        <v>0.72000000000000008</v>
      </c>
      <c r="R447" s="4">
        <f>VLOOKUP(A447,ui!A$37:G$52,4,FALSE)</f>
        <v>4.0500000000000008E-2</v>
      </c>
      <c r="S447" s="4" cm="1">
        <f t="array" ref="S447">INDEX(begin!I:I,MATCH(1, (all_inputs!A447=begin!A:A)*(all_inputs!J447=begin!C:C),0))</f>
        <v>0</v>
      </c>
      <c r="T447" s="4" cm="1">
        <f t="array" ref="T447">INDEX(begin!J:J,MATCH(1, (all_inputs!A447=begin!A:A)*(all_inputs!J447=begin!C:C),0))</f>
        <v>1</v>
      </c>
      <c r="U447" s="4" cm="1">
        <f t="array" ref="U447">INDEX(begin!K:K,MATCH(1, (all_inputs!A447=begin!A:A)*(all_inputs!J447=begin!C:C),0))</f>
        <v>0</v>
      </c>
      <c r="V447" s="4" cm="1">
        <f t="array" ref="V447">INDEX(begin!L:L,MATCH(1, (all_inputs!A447=begin!A:A)*(all_inputs!J447=begin!C:C),0))</f>
        <v>0</v>
      </c>
      <c r="W447" s="4" cm="1">
        <f t="array" ref="W447">_xlfn.IFNA(INDEX(end!I:I,MATCH(1, (all_inputs!A447=end!A:A)*(all_inputs!J447=end!C:C),0)),"")</f>
        <v>0</v>
      </c>
      <c r="X447" s="4" cm="1">
        <f t="array" ref="X447">_xlfn.IFNA(INDEX(end!J:J,MATCH(1, (all_inputs!A447=end!A:A)*(all_inputs!J447=end!C:C),0)),"")</f>
        <v>1</v>
      </c>
      <c r="Y447" s="4" cm="1">
        <f t="array" ref="Y447">_xlfn.IFNA(INDEX(end!K:K,MATCH(1, (all_inputs!A447=end!A:A)*(all_inputs!J447=end!C:C),0)),"")</f>
        <v>0</v>
      </c>
      <c r="Z447" s="4" cm="1">
        <f t="array" ref="Z447">_xlfn.IFNA(INDEX(end!L:L,MATCH(1, (all_inputs!A447=end!A:A)*(all_inputs!J447=end!C:C),0)),"")</f>
        <v>0</v>
      </c>
      <c r="AA447" t="b">
        <f>VLOOKUP(A447,ui!A$37:B$52,2,FALSE)</f>
        <v>0</v>
      </c>
    </row>
    <row r="448" spans="1:27" x14ac:dyDescent="0.25">
      <c r="A448" t="s">
        <v>28</v>
      </c>
      <c r="B448" s="40">
        <f>IF(COUNTIF(dropdown!B$2:B$12,all_inputs!A448)=1,1,IF(COUNTIF(dropdown!C$2:C$4,all_inputs!A448)=1,2,IF(COUNTIF(dropdown!D$2:D$3,all_inputs!A448)=1,3,"?")))</f>
        <v>1</v>
      </c>
      <c r="C448" t="s">
        <v>15</v>
      </c>
      <c r="D448" t="s">
        <v>466</v>
      </c>
      <c r="E448" t="s">
        <v>440</v>
      </c>
      <c r="F448" s="4" cm="1">
        <f t="array" ref="F448">IF(B448&lt;&gt;3,1,_xlfn.IFNA(INDEX(#REF!,MATCH(1, (all_inputs!A448=#REF!)*(all_inputs!D448=#REF!),0)),1))</f>
        <v>1</v>
      </c>
      <c r="G448" s="4">
        <f>ui!B$4</f>
        <v>2025</v>
      </c>
      <c r="H448" s="4">
        <f>ui!B$5</f>
        <v>2050</v>
      </c>
      <c r="I448" s="4" t="s">
        <v>93</v>
      </c>
      <c r="J448" s="4" t="str">
        <f>VLOOKUP(ui!B$2,dropdown!M:O,3,FALSE)</f>
        <v>LIC</v>
      </c>
      <c r="K448" s="4" cm="1">
        <f t="array" ref="K448">INDEX(begin!E:E,MATCH(1, (all_inputs!A448=begin!A:A)*(all_inputs!J448=begin!C:C),0))</f>
        <v>0</v>
      </c>
      <c r="L448" s="4" cm="1">
        <f t="array" ref="L448">INDEX(begin!F:F,MATCH(1, (all_inputs!A448=begin!A:A)*(all_inputs!J448=begin!C:C),0))</f>
        <v>0.05</v>
      </c>
      <c r="M448" s="4" cm="1">
        <f t="array" ref="M448">INDEX(begin!G:G,MATCH(1, (all_inputs!A448=begin!A:A)*(all_inputs!J448=begin!C:C),0))</f>
        <v>4.5000000000000005E-2</v>
      </c>
      <c r="N448" s="4">
        <f>VLOOKUP(A448,ui!A$37:C$52,3,FALSE)</f>
        <v>4.5000000000000005E-2</v>
      </c>
      <c r="O448" s="4" cm="1">
        <f t="array" ref="O448">INDEX(end!E:E,MATCH(1, (all_inputs!A448=end!A:A)*(all_inputs!J448=end!C:C),0))</f>
        <v>0</v>
      </c>
      <c r="P448" s="4" cm="1">
        <f t="array" ref="P448">INDEX(end!F:F,MATCH(1, (all_inputs!A448=end!A:A)*(all_inputs!J448=end!C:C),0))</f>
        <v>0.8</v>
      </c>
      <c r="Q448" s="4" cm="1">
        <f t="array" ref="Q448">INDEX(end!G:G,MATCH(1, (all_inputs!A448=end!A:A)*(all_inputs!J448=end!C:C),0))</f>
        <v>0.72000000000000008</v>
      </c>
      <c r="R448" s="4">
        <f>VLOOKUP(A448,ui!A$37:G$52,4,FALSE)</f>
        <v>4.0500000000000008E-2</v>
      </c>
      <c r="S448" s="4" cm="1">
        <f t="array" ref="S448">INDEX(begin!I:I,MATCH(1, (all_inputs!A448=begin!A:A)*(all_inputs!J448=begin!C:C),0))</f>
        <v>0</v>
      </c>
      <c r="T448" s="4" cm="1">
        <f t="array" ref="T448">INDEX(begin!J:J,MATCH(1, (all_inputs!A448=begin!A:A)*(all_inputs!J448=begin!C:C),0))</f>
        <v>1</v>
      </c>
      <c r="U448" s="4" cm="1">
        <f t="array" ref="U448">INDEX(begin!K:K,MATCH(1, (all_inputs!A448=begin!A:A)*(all_inputs!J448=begin!C:C),0))</f>
        <v>0</v>
      </c>
      <c r="V448" s="4" cm="1">
        <f t="array" ref="V448">INDEX(begin!L:L,MATCH(1, (all_inputs!A448=begin!A:A)*(all_inputs!J448=begin!C:C),0))</f>
        <v>0</v>
      </c>
      <c r="W448" s="4" cm="1">
        <f t="array" ref="W448">_xlfn.IFNA(INDEX(end!I:I,MATCH(1, (all_inputs!A448=end!A:A)*(all_inputs!J448=end!C:C),0)),"")</f>
        <v>0</v>
      </c>
      <c r="X448" s="4" cm="1">
        <f t="array" ref="X448">_xlfn.IFNA(INDEX(end!J:J,MATCH(1, (all_inputs!A448=end!A:A)*(all_inputs!J448=end!C:C),0)),"")</f>
        <v>1</v>
      </c>
      <c r="Y448" s="4" cm="1">
        <f t="array" ref="Y448">_xlfn.IFNA(INDEX(end!K:K,MATCH(1, (all_inputs!A448=end!A:A)*(all_inputs!J448=end!C:C),0)),"")</f>
        <v>0</v>
      </c>
      <c r="Z448" s="4" cm="1">
        <f t="array" ref="Z448">_xlfn.IFNA(INDEX(end!L:L,MATCH(1, (all_inputs!A448=end!A:A)*(all_inputs!J448=end!C:C),0)),"")</f>
        <v>0</v>
      </c>
      <c r="AA448" t="b">
        <f>VLOOKUP(A448,ui!A$37:B$52,2,FALSE)</f>
        <v>0</v>
      </c>
    </row>
    <row r="449" spans="1:27" x14ac:dyDescent="0.25">
      <c r="A449" t="s">
        <v>28</v>
      </c>
      <c r="B449" s="40">
        <f>IF(COUNTIF(dropdown!B$2:B$12,all_inputs!A449)=1,1,IF(COUNTIF(dropdown!C$2:C$4,all_inputs!A449)=1,2,IF(COUNTIF(dropdown!D$2:D$3,all_inputs!A449)=1,3,"?")))</f>
        <v>1</v>
      </c>
      <c r="C449" t="s">
        <v>16</v>
      </c>
      <c r="D449" t="s">
        <v>467</v>
      </c>
      <c r="E449" t="s">
        <v>440</v>
      </c>
      <c r="F449" s="4" cm="1">
        <f t="array" ref="F449">IF(B449&lt;&gt;3,1,_xlfn.IFNA(INDEX(#REF!,MATCH(1, (all_inputs!A449=#REF!)*(all_inputs!D449=#REF!),0)),1))</f>
        <v>1</v>
      </c>
      <c r="G449" s="4">
        <f>ui!B$4</f>
        <v>2025</v>
      </c>
      <c r="H449" s="4">
        <f>ui!B$5</f>
        <v>2050</v>
      </c>
      <c r="I449" s="4" t="s">
        <v>93</v>
      </c>
      <c r="J449" s="4" t="str">
        <f>VLOOKUP(ui!B$2,dropdown!M:O,3,FALSE)</f>
        <v>LIC</v>
      </c>
      <c r="K449" s="4" cm="1">
        <f t="array" ref="K449">INDEX(begin!E:E,MATCH(1, (all_inputs!A449=begin!A:A)*(all_inputs!J449=begin!C:C),0))</f>
        <v>0</v>
      </c>
      <c r="L449" s="4" cm="1">
        <f t="array" ref="L449">INDEX(begin!F:F,MATCH(1, (all_inputs!A449=begin!A:A)*(all_inputs!J449=begin!C:C),0))</f>
        <v>0.05</v>
      </c>
      <c r="M449" s="4" cm="1">
        <f t="array" ref="M449">INDEX(begin!G:G,MATCH(1, (all_inputs!A449=begin!A:A)*(all_inputs!J449=begin!C:C),0))</f>
        <v>4.5000000000000005E-2</v>
      </c>
      <c r="N449" s="4">
        <f>VLOOKUP(A449,ui!A$37:C$52,3,FALSE)</f>
        <v>4.5000000000000005E-2</v>
      </c>
      <c r="O449" s="4" cm="1">
        <f t="array" ref="O449">INDEX(end!E:E,MATCH(1, (all_inputs!A449=end!A:A)*(all_inputs!J449=end!C:C),0))</f>
        <v>0</v>
      </c>
      <c r="P449" s="4" cm="1">
        <f t="array" ref="P449">INDEX(end!F:F,MATCH(1, (all_inputs!A449=end!A:A)*(all_inputs!J449=end!C:C),0))</f>
        <v>0.8</v>
      </c>
      <c r="Q449" s="4" cm="1">
        <f t="array" ref="Q449">INDEX(end!G:G,MATCH(1, (all_inputs!A449=end!A:A)*(all_inputs!J449=end!C:C),0))</f>
        <v>0.72000000000000008</v>
      </c>
      <c r="R449" s="4">
        <f>VLOOKUP(A449,ui!A$37:G$52,4,FALSE)</f>
        <v>4.0500000000000008E-2</v>
      </c>
      <c r="S449" s="4" cm="1">
        <f t="array" ref="S449">INDEX(begin!I:I,MATCH(1, (all_inputs!A449=begin!A:A)*(all_inputs!J449=begin!C:C),0))</f>
        <v>0</v>
      </c>
      <c r="T449" s="4" cm="1">
        <f t="array" ref="T449">INDEX(begin!J:J,MATCH(1, (all_inputs!A449=begin!A:A)*(all_inputs!J449=begin!C:C),0))</f>
        <v>1</v>
      </c>
      <c r="U449" s="4" cm="1">
        <f t="array" ref="U449">INDEX(begin!K:K,MATCH(1, (all_inputs!A449=begin!A:A)*(all_inputs!J449=begin!C:C),0))</f>
        <v>0</v>
      </c>
      <c r="V449" s="4" cm="1">
        <f t="array" ref="V449">INDEX(begin!L:L,MATCH(1, (all_inputs!A449=begin!A:A)*(all_inputs!J449=begin!C:C),0))</f>
        <v>0</v>
      </c>
      <c r="W449" s="4" cm="1">
        <f t="array" ref="W449">_xlfn.IFNA(INDEX(end!I:I,MATCH(1, (all_inputs!A449=end!A:A)*(all_inputs!J449=end!C:C),0)),"")</f>
        <v>0</v>
      </c>
      <c r="X449" s="4" cm="1">
        <f t="array" ref="X449">_xlfn.IFNA(INDEX(end!J:J,MATCH(1, (all_inputs!A449=end!A:A)*(all_inputs!J449=end!C:C),0)),"")</f>
        <v>1</v>
      </c>
      <c r="Y449" s="4" cm="1">
        <f t="array" ref="Y449">_xlfn.IFNA(INDEX(end!K:K,MATCH(1, (all_inputs!A449=end!A:A)*(all_inputs!J449=end!C:C),0)),"")</f>
        <v>0</v>
      </c>
      <c r="Z449" s="4" cm="1">
        <f t="array" ref="Z449">_xlfn.IFNA(INDEX(end!L:L,MATCH(1, (all_inputs!A449=end!A:A)*(all_inputs!J449=end!C:C),0)),"")</f>
        <v>0</v>
      </c>
      <c r="AA449" t="b">
        <f>VLOOKUP(A449,ui!A$37:B$52,2,FALSE)</f>
        <v>0</v>
      </c>
    </row>
    <row r="450" spans="1:27" x14ac:dyDescent="0.25">
      <c r="A450" t="s">
        <v>28</v>
      </c>
      <c r="B450" s="40">
        <f>IF(COUNTIF(dropdown!B$2:B$12,all_inputs!A450)=1,1,IF(COUNTIF(dropdown!C$2:C$4,all_inputs!A450)=1,2,IF(COUNTIF(dropdown!D$2:D$3,all_inputs!A450)=1,3,"?")))</f>
        <v>1</v>
      </c>
      <c r="C450" t="s">
        <v>17</v>
      </c>
      <c r="D450" t="s">
        <v>468</v>
      </c>
      <c r="E450" t="s">
        <v>440</v>
      </c>
      <c r="F450" s="4" cm="1">
        <f t="array" ref="F450">IF(B450&lt;&gt;3,1,_xlfn.IFNA(INDEX(#REF!,MATCH(1, (all_inputs!A450=#REF!)*(all_inputs!D450=#REF!),0)),1))</f>
        <v>1</v>
      </c>
      <c r="G450" s="4">
        <f>ui!B$4</f>
        <v>2025</v>
      </c>
      <c r="H450" s="4">
        <f>ui!B$5</f>
        <v>2050</v>
      </c>
      <c r="I450" s="4" t="s">
        <v>93</v>
      </c>
      <c r="J450" s="4" t="str">
        <f>VLOOKUP(ui!B$2,dropdown!M:O,3,FALSE)</f>
        <v>LIC</v>
      </c>
      <c r="K450" s="4" cm="1">
        <f t="array" ref="K450">INDEX(begin!E:E,MATCH(1, (all_inputs!A450=begin!A:A)*(all_inputs!J450=begin!C:C),0))</f>
        <v>0</v>
      </c>
      <c r="L450" s="4" cm="1">
        <f t="array" ref="L450">INDEX(begin!F:F,MATCH(1, (all_inputs!A450=begin!A:A)*(all_inputs!J450=begin!C:C),0))</f>
        <v>0.05</v>
      </c>
      <c r="M450" s="4" cm="1">
        <f t="array" ref="M450">INDEX(begin!G:G,MATCH(1, (all_inputs!A450=begin!A:A)*(all_inputs!J450=begin!C:C),0))</f>
        <v>4.5000000000000005E-2</v>
      </c>
      <c r="N450" s="4">
        <f>VLOOKUP(A450,ui!A$37:C$52,3,FALSE)</f>
        <v>4.5000000000000005E-2</v>
      </c>
      <c r="O450" s="4" cm="1">
        <f t="array" ref="O450">INDEX(end!E:E,MATCH(1, (all_inputs!A450=end!A:A)*(all_inputs!J450=end!C:C),0))</f>
        <v>0</v>
      </c>
      <c r="P450" s="4" cm="1">
        <f t="array" ref="P450">INDEX(end!F:F,MATCH(1, (all_inputs!A450=end!A:A)*(all_inputs!J450=end!C:C),0))</f>
        <v>0.8</v>
      </c>
      <c r="Q450" s="4" cm="1">
        <f t="array" ref="Q450">INDEX(end!G:G,MATCH(1, (all_inputs!A450=end!A:A)*(all_inputs!J450=end!C:C),0))</f>
        <v>0.72000000000000008</v>
      </c>
      <c r="R450" s="4">
        <f>VLOOKUP(A450,ui!A$37:G$52,4,FALSE)</f>
        <v>4.0500000000000008E-2</v>
      </c>
      <c r="S450" s="4" cm="1">
        <f t="array" ref="S450">INDEX(begin!I:I,MATCH(1, (all_inputs!A450=begin!A:A)*(all_inputs!J450=begin!C:C),0))</f>
        <v>0</v>
      </c>
      <c r="T450" s="4" cm="1">
        <f t="array" ref="T450">INDEX(begin!J:J,MATCH(1, (all_inputs!A450=begin!A:A)*(all_inputs!J450=begin!C:C),0))</f>
        <v>1</v>
      </c>
      <c r="U450" s="4" cm="1">
        <f t="array" ref="U450">INDEX(begin!K:K,MATCH(1, (all_inputs!A450=begin!A:A)*(all_inputs!J450=begin!C:C),0))</f>
        <v>0</v>
      </c>
      <c r="V450" s="4" cm="1">
        <f t="array" ref="V450">INDEX(begin!L:L,MATCH(1, (all_inputs!A450=begin!A:A)*(all_inputs!J450=begin!C:C),0))</f>
        <v>0</v>
      </c>
      <c r="W450" s="4" cm="1">
        <f t="array" ref="W450">_xlfn.IFNA(INDEX(end!I:I,MATCH(1, (all_inputs!A450=end!A:A)*(all_inputs!J450=end!C:C),0)),"")</f>
        <v>0</v>
      </c>
      <c r="X450" s="4" cm="1">
        <f t="array" ref="X450">_xlfn.IFNA(INDEX(end!J:J,MATCH(1, (all_inputs!A450=end!A:A)*(all_inputs!J450=end!C:C),0)),"")</f>
        <v>1</v>
      </c>
      <c r="Y450" s="4" cm="1">
        <f t="array" ref="Y450">_xlfn.IFNA(INDEX(end!K:K,MATCH(1, (all_inputs!A450=end!A:A)*(all_inputs!J450=end!C:C),0)),"")</f>
        <v>0</v>
      </c>
      <c r="Z450" s="4" cm="1">
        <f t="array" ref="Z450">_xlfn.IFNA(INDEX(end!L:L,MATCH(1, (all_inputs!A450=end!A:A)*(all_inputs!J450=end!C:C),0)),"")</f>
        <v>0</v>
      </c>
      <c r="AA450" t="b">
        <f>VLOOKUP(A450,ui!A$37:B$52,2,FALSE)</f>
        <v>0</v>
      </c>
    </row>
    <row r="451" spans="1:27" x14ac:dyDescent="0.25">
      <c r="A451" s="2" t="s">
        <v>28</v>
      </c>
      <c r="B451" s="41">
        <f>IF(COUNTIF(dropdown!B$2:B$12,all_inputs!A451)=1,1,IF(COUNTIF(dropdown!C$2:C$4,all_inputs!A451)=1,2,IF(COUNTIF(dropdown!D$2:D$3,all_inputs!A451)=1,3,"?")))</f>
        <v>1</v>
      </c>
      <c r="C451" s="2" t="s">
        <v>18</v>
      </c>
      <c r="D451" s="2" t="s">
        <v>469</v>
      </c>
      <c r="E451" s="2" t="s">
        <v>440</v>
      </c>
      <c r="F451" s="2">
        <f>RR!F12</f>
        <v>0.9</v>
      </c>
      <c r="G451" s="5">
        <f>ui!B$4</f>
        <v>2025</v>
      </c>
      <c r="H451" s="5">
        <f>ui!B$5</f>
        <v>2050</v>
      </c>
      <c r="I451" s="5" t="s">
        <v>93</v>
      </c>
      <c r="J451" s="5" t="str">
        <f>VLOOKUP(ui!B$2,dropdown!M:O,3,FALSE)</f>
        <v>LIC</v>
      </c>
      <c r="K451" s="5" cm="1">
        <f t="array" ref="K451">INDEX(begin!E:E,MATCH(1, (all_inputs!A451=begin!A:A)*(all_inputs!J451=begin!C:C),0))</f>
        <v>0</v>
      </c>
      <c r="L451" s="5" cm="1">
        <f t="array" ref="L451">INDEX(begin!F:F,MATCH(1, (all_inputs!A451=begin!A:A)*(all_inputs!J451=begin!C:C),0))</f>
        <v>0.05</v>
      </c>
      <c r="M451" s="5" cm="1">
        <f t="array" ref="M451">INDEX(begin!G:G,MATCH(1, (all_inputs!A451=begin!A:A)*(all_inputs!J451=begin!C:C),0))</f>
        <v>4.5000000000000005E-2</v>
      </c>
      <c r="N451" s="5">
        <f>VLOOKUP(A451,ui!A$37:C$52,3,FALSE)</f>
        <v>4.5000000000000005E-2</v>
      </c>
      <c r="O451" s="5" cm="1">
        <f t="array" ref="O451">INDEX(end!E:E,MATCH(1, (all_inputs!A451=end!A:A)*(all_inputs!J451=end!C:C),0))</f>
        <v>0</v>
      </c>
      <c r="P451" s="5" cm="1">
        <f t="array" ref="P451">INDEX(end!F:F,MATCH(1, (all_inputs!A451=end!A:A)*(all_inputs!J451=end!C:C),0))</f>
        <v>0.8</v>
      </c>
      <c r="Q451" s="5" cm="1">
        <f t="array" ref="Q451">INDEX(end!G:G,MATCH(1, (all_inputs!A451=end!A:A)*(all_inputs!J451=end!C:C),0))</f>
        <v>0.72000000000000008</v>
      </c>
      <c r="R451" s="5">
        <f>VLOOKUP(A451,ui!A$37:G$52,4,FALSE)</f>
        <v>4.0500000000000008E-2</v>
      </c>
      <c r="S451" s="5" cm="1">
        <f t="array" ref="S451">INDEX(begin!I:I,MATCH(1, (all_inputs!A451=begin!A:A)*(all_inputs!J451=begin!C:C),0))</f>
        <v>0</v>
      </c>
      <c r="T451" s="5" cm="1">
        <f t="array" ref="T451">INDEX(begin!J:J,MATCH(1, (all_inputs!A451=begin!A:A)*(all_inputs!J451=begin!C:C),0))</f>
        <v>1</v>
      </c>
      <c r="U451" s="5" cm="1">
        <f t="array" ref="U451">INDEX(begin!K:K,MATCH(1, (all_inputs!A451=begin!A:A)*(all_inputs!J451=begin!C:C),0))</f>
        <v>0</v>
      </c>
      <c r="V451" s="5" cm="1">
        <f t="array" ref="V451">INDEX(begin!L:L,MATCH(1, (all_inputs!A451=begin!A:A)*(all_inputs!J451=begin!C:C),0))</f>
        <v>0</v>
      </c>
      <c r="W451" s="5" cm="1">
        <f t="array" ref="W451">_xlfn.IFNA(INDEX(end!I:I,MATCH(1, (all_inputs!A451=end!A:A)*(all_inputs!J451=end!C:C),0)),"")</f>
        <v>0</v>
      </c>
      <c r="X451" s="5" cm="1">
        <f t="array" ref="X451">_xlfn.IFNA(INDEX(end!J:J,MATCH(1, (all_inputs!A451=end!A:A)*(all_inputs!J451=end!C:C),0)),"")</f>
        <v>1</v>
      </c>
      <c r="Y451" s="5" cm="1">
        <f t="array" ref="Y451">_xlfn.IFNA(INDEX(end!K:K,MATCH(1, (all_inputs!A451=end!A:A)*(all_inputs!J451=end!C:C),0)),"")</f>
        <v>0</v>
      </c>
      <c r="Z451" s="5" cm="1">
        <f t="array" ref="Z451">_xlfn.IFNA(INDEX(end!L:L,MATCH(1, (all_inputs!A451=end!A:A)*(all_inputs!J451=end!C:C),0)),"")</f>
        <v>0</v>
      </c>
      <c r="AA451" s="2" t="b">
        <f>VLOOKUP(A451,ui!A$37:B$52,2,FALSE)</f>
        <v>0</v>
      </c>
    </row>
    <row r="452" spans="1:27" x14ac:dyDescent="0.25">
      <c r="A452" t="s">
        <v>29</v>
      </c>
      <c r="B452" s="40">
        <f>IF(COUNTIF(dropdown!B$2:B$12,all_inputs!A452)=1,1,IF(COUNTIF(dropdown!C$2:C$4,all_inputs!A452)=1,2,IF(COUNTIF(dropdown!D$2:D$3,all_inputs!A452)=1,3,"?")))</f>
        <v>2</v>
      </c>
      <c r="C452" t="s">
        <v>13</v>
      </c>
      <c r="D452" t="s">
        <v>472</v>
      </c>
      <c r="E452" t="s">
        <v>440</v>
      </c>
      <c r="F452" s="4">
        <v>1</v>
      </c>
      <c r="G452" s="4">
        <f>ui!B$4</f>
        <v>2025</v>
      </c>
      <c r="H452" s="4">
        <f>ui!B$5</f>
        <v>2050</v>
      </c>
      <c r="I452" s="4" t="s">
        <v>93</v>
      </c>
      <c r="J452" s="4" t="str">
        <f>VLOOKUP(ui!B$2,dropdown!M:O,3,FALSE)</f>
        <v>LIC</v>
      </c>
      <c r="K452" s="4" cm="1">
        <f t="array" ref="K452">INDEX(begin!E:E,MATCH(1, (all_inputs!A452=begin!A:A)*(all_inputs!J452=begin!C:C),0))</f>
        <v>0</v>
      </c>
      <c r="L452" s="4" cm="1">
        <f t="array" ref="L452">INDEX(begin!F:F,MATCH(1, (all_inputs!A452=begin!A:A)*(all_inputs!J452=begin!C:C),0))</f>
        <v>0.05</v>
      </c>
      <c r="M452" s="4" cm="1">
        <f t="array" ref="M452">INDEX(begin!G:G,MATCH(1, (all_inputs!A452=begin!A:A)*(all_inputs!J452=begin!C:C),0))</f>
        <v>4.5000000000000005E-2</v>
      </c>
      <c r="N452" s="4">
        <f>VLOOKUP(A452,ui!A$37:C$52,3,FALSE)</f>
        <v>4.5000000000000005E-2</v>
      </c>
      <c r="O452" s="4" cm="1">
        <f t="array" ref="O452">INDEX(end!E:E,MATCH(1, (all_inputs!A452=end!A:A)*(all_inputs!J452=end!C:C),0))</f>
        <v>0</v>
      </c>
      <c r="P452" s="4" cm="1">
        <f t="array" ref="P452">INDEX(end!F:F,MATCH(1, (all_inputs!A452=end!A:A)*(all_inputs!J452=end!C:C),0))</f>
        <v>0.8</v>
      </c>
      <c r="Q452" s="4" cm="1">
        <f t="array" ref="Q452">INDEX(end!G:G,MATCH(1, (all_inputs!A452=end!A:A)*(all_inputs!J452=end!C:C),0))</f>
        <v>0.72000000000000008</v>
      </c>
      <c r="R452" s="4">
        <f>VLOOKUP(A452,ui!A$37:G$52,4,FALSE)</f>
        <v>4.0500000000000008E-2</v>
      </c>
      <c r="S452" s="4" cm="1">
        <f t="array" ref="S452">INDEX(begin!I:I,MATCH(1, (all_inputs!A452=begin!A:A)*(all_inputs!J452=begin!C:C),0))</f>
        <v>0</v>
      </c>
      <c r="T452" s="4" cm="1">
        <f t="array" ref="T452">INDEX(begin!J:J,MATCH(1, (all_inputs!A452=begin!A:A)*(all_inputs!J452=begin!C:C),0))</f>
        <v>3.5788468800000001E-2</v>
      </c>
      <c r="U452" s="4" cm="1">
        <f t="array" ref="U452">INDEX(begin!K:K,MATCH(1, (all_inputs!A452=begin!A:A)*(all_inputs!J452=begin!C:C),0))</f>
        <v>0.60179304546133194</v>
      </c>
      <c r="V452" s="4" cm="1">
        <f t="array" ref="V452">INDEX(begin!L:L,MATCH(1, (all_inputs!A452=begin!A:A)*(all_inputs!J452=begin!C:C),0))</f>
        <v>0.36241848573866808</v>
      </c>
      <c r="W452" s="4" cm="1">
        <f t="array" ref="W452">_xlfn.IFNA(INDEX(end!I:I,MATCH(1, (all_inputs!A452=end!A:A)*(all_inputs!J452=end!C:C),0)),"")</f>
        <v>0</v>
      </c>
      <c r="X452" s="4" cm="1">
        <f t="array" ref="X452">_xlfn.IFNA(INDEX(end!J:J,MATCH(1, (all_inputs!A452=end!A:A)*(all_inputs!J452=end!C:C),0)),"")</f>
        <v>3.5788468800000001E-2</v>
      </c>
      <c r="Y452" s="4" cm="1">
        <f t="array" ref="Y452">_xlfn.IFNA(INDEX(end!K:K,MATCH(1, (all_inputs!A452=end!A:A)*(all_inputs!J452=end!C:C),0)),"")</f>
        <v>0.60179304546133194</v>
      </c>
      <c r="Z452" s="4" cm="1">
        <f t="array" ref="Z452">_xlfn.IFNA(INDEX(end!L:L,MATCH(1, (all_inputs!A452=end!A:A)*(all_inputs!J452=end!C:C),0)),"")</f>
        <v>0.36241848573866808</v>
      </c>
      <c r="AA452" t="b">
        <f>VLOOKUP(A452,ui!A$37:B$52,2,FALSE)</f>
        <v>1</v>
      </c>
    </row>
    <row r="453" spans="1:27" x14ac:dyDescent="0.25">
      <c r="A453" t="s">
        <v>29</v>
      </c>
      <c r="B453" s="40">
        <f>IF(COUNTIF(dropdown!B$2:B$12,all_inputs!A453)=1,1,IF(COUNTIF(dropdown!C$2:C$4,all_inputs!A453)=1,2,IF(COUNTIF(dropdown!D$2:D$3,all_inputs!A453)=1,3,"?")))</f>
        <v>2</v>
      </c>
      <c r="C453" t="s">
        <v>14</v>
      </c>
      <c r="D453" t="s">
        <v>466</v>
      </c>
      <c r="E453" t="s">
        <v>440</v>
      </c>
      <c r="F453">
        <f>RR!B13</f>
        <v>1</v>
      </c>
      <c r="G453" s="4">
        <f>ui!B$4</f>
        <v>2025</v>
      </c>
      <c r="H453" s="4">
        <f>ui!B$5</f>
        <v>2050</v>
      </c>
      <c r="I453" s="4" t="s">
        <v>93</v>
      </c>
      <c r="J453" s="4" t="str">
        <f>VLOOKUP(ui!B$2,dropdown!M:O,3,FALSE)</f>
        <v>LIC</v>
      </c>
      <c r="K453" s="4" cm="1">
        <f t="array" ref="K453">INDEX(begin!E:E,MATCH(1, (all_inputs!A453=begin!A:A)*(all_inputs!J453=begin!C:C),0))</f>
        <v>0</v>
      </c>
      <c r="L453" s="4" cm="1">
        <f t="array" ref="L453">INDEX(begin!F:F,MATCH(1, (all_inputs!A453=begin!A:A)*(all_inputs!J453=begin!C:C),0))</f>
        <v>0.05</v>
      </c>
      <c r="M453" s="4" cm="1">
        <f t="array" ref="M453">INDEX(begin!G:G,MATCH(1, (all_inputs!A453=begin!A:A)*(all_inputs!J453=begin!C:C),0))</f>
        <v>4.5000000000000005E-2</v>
      </c>
      <c r="N453" s="4">
        <f>VLOOKUP(A453,ui!A$37:C$52,3,FALSE)</f>
        <v>4.5000000000000005E-2</v>
      </c>
      <c r="O453" s="4" cm="1">
        <f t="array" ref="O453">INDEX(end!E:E,MATCH(1, (all_inputs!A453=end!A:A)*(all_inputs!J453=end!C:C),0))</f>
        <v>0</v>
      </c>
      <c r="P453" s="4" cm="1">
        <f t="array" ref="P453">INDEX(end!F:F,MATCH(1, (all_inputs!A453=end!A:A)*(all_inputs!J453=end!C:C),0))</f>
        <v>0.8</v>
      </c>
      <c r="Q453" s="4" cm="1">
        <f t="array" ref="Q453">INDEX(end!G:G,MATCH(1, (all_inputs!A453=end!A:A)*(all_inputs!J453=end!C:C),0))</f>
        <v>0.72000000000000008</v>
      </c>
      <c r="R453" s="4">
        <f>VLOOKUP(A453,ui!A$37:G$52,4,FALSE)</f>
        <v>4.0500000000000008E-2</v>
      </c>
      <c r="S453" s="4" cm="1">
        <f t="array" ref="S453">INDEX(begin!I:I,MATCH(1, (all_inputs!A453=begin!A:A)*(all_inputs!J453=begin!C:C),0))</f>
        <v>0</v>
      </c>
      <c r="T453" s="4" cm="1">
        <f t="array" ref="T453">INDEX(begin!J:J,MATCH(1, (all_inputs!A453=begin!A:A)*(all_inputs!J453=begin!C:C),0))</f>
        <v>3.5788468800000001E-2</v>
      </c>
      <c r="U453" s="4" cm="1">
        <f t="array" ref="U453">INDEX(begin!K:K,MATCH(1, (all_inputs!A453=begin!A:A)*(all_inputs!J453=begin!C:C),0))</f>
        <v>0.60179304546133194</v>
      </c>
      <c r="V453" s="4" cm="1">
        <f t="array" ref="V453">INDEX(begin!L:L,MATCH(1, (all_inputs!A453=begin!A:A)*(all_inputs!J453=begin!C:C),0))</f>
        <v>0.36241848573866808</v>
      </c>
      <c r="W453" s="4" cm="1">
        <f t="array" ref="W453">_xlfn.IFNA(INDEX(end!I:I,MATCH(1, (all_inputs!A453=end!A:A)*(all_inputs!J453=end!C:C),0)),"")</f>
        <v>0</v>
      </c>
      <c r="X453" s="4" cm="1">
        <f t="array" ref="X453">_xlfn.IFNA(INDEX(end!J:J,MATCH(1, (all_inputs!A453=end!A:A)*(all_inputs!J453=end!C:C),0)),"")</f>
        <v>3.5788468800000001E-2</v>
      </c>
      <c r="Y453" s="4" cm="1">
        <f t="array" ref="Y453">_xlfn.IFNA(INDEX(end!K:K,MATCH(1, (all_inputs!A453=end!A:A)*(all_inputs!J453=end!C:C),0)),"")</f>
        <v>0.60179304546133194</v>
      </c>
      <c r="Z453" s="4" cm="1">
        <f t="array" ref="Z453">_xlfn.IFNA(INDEX(end!L:L,MATCH(1, (all_inputs!A453=end!A:A)*(all_inputs!J453=end!C:C),0)),"")</f>
        <v>0.36241848573866808</v>
      </c>
      <c r="AA453" t="b">
        <f>VLOOKUP(A453,ui!A$37:B$52,2,FALSE)</f>
        <v>1</v>
      </c>
    </row>
    <row r="454" spans="1:27" x14ac:dyDescent="0.25">
      <c r="A454" t="s">
        <v>29</v>
      </c>
      <c r="B454" s="40">
        <f>IF(COUNTIF(dropdown!B$2:B$12,all_inputs!A454)=1,1,IF(COUNTIF(dropdown!C$2:C$4,all_inputs!A454)=1,2,IF(COUNTIF(dropdown!D$2:D$3,all_inputs!A454)=1,3,"?")))</f>
        <v>2</v>
      </c>
      <c r="C454" t="s">
        <v>15</v>
      </c>
      <c r="D454" t="s">
        <v>466</v>
      </c>
      <c r="E454" t="s">
        <v>440</v>
      </c>
      <c r="F454" s="4" cm="1">
        <f t="array" ref="F454">IF(B454&lt;&gt;3,1,_xlfn.IFNA(INDEX(#REF!,MATCH(1, (all_inputs!A454=#REF!)*(all_inputs!D454=#REF!),0)),1))</f>
        <v>1</v>
      </c>
      <c r="G454" s="4">
        <f>ui!B$4</f>
        <v>2025</v>
      </c>
      <c r="H454" s="4">
        <f>ui!B$5</f>
        <v>2050</v>
      </c>
      <c r="I454" s="4" t="s">
        <v>93</v>
      </c>
      <c r="J454" s="4" t="str">
        <f>VLOOKUP(ui!B$2,dropdown!M:O,3,FALSE)</f>
        <v>LIC</v>
      </c>
      <c r="K454" s="4" cm="1">
        <f t="array" ref="K454">INDEX(begin!E:E,MATCH(1, (all_inputs!A454=begin!A:A)*(all_inputs!J454=begin!C:C),0))</f>
        <v>0</v>
      </c>
      <c r="L454" s="4" cm="1">
        <f t="array" ref="L454">INDEX(begin!F:F,MATCH(1, (all_inputs!A454=begin!A:A)*(all_inputs!J454=begin!C:C),0))</f>
        <v>0.05</v>
      </c>
      <c r="M454" s="4" cm="1">
        <f t="array" ref="M454">INDEX(begin!G:G,MATCH(1, (all_inputs!A454=begin!A:A)*(all_inputs!J454=begin!C:C),0))</f>
        <v>4.5000000000000005E-2</v>
      </c>
      <c r="N454" s="4">
        <f>VLOOKUP(A454,ui!A$37:C$52,3,FALSE)</f>
        <v>4.5000000000000005E-2</v>
      </c>
      <c r="O454" s="4" cm="1">
        <f t="array" ref="O454">INDEX(end!E:E,MATCH(1, (all_inputs!A454=end!A:A)*(all_inputs!J454=end!C:C),0))</f>
        <v>0</v>
      </c>
      <c r="P454" s="4" cm="1">
        <f t="array" ref="P454">INDEX(end!F:F,MATCH(1, (all_inputs!A454=end!A:A)*(all_inputs!J454=end!C:C),0))</f>
        <v>0.8</v>
      </c>
      <c r="Q454" s="4" cm="1">
        <f t="array" ref="Q454">INDEX(end!G:G,MATCH(1, (all_inputs!A454=end!A:A)*(all_inputs!J454=end!C:C),0))</f>
        <v>0.72000000000000008</v>
      </c>
      <c r="R454" s="4">
        <f>VLOOKUP(A454,ui!A$37:G$52,4,FALSE)</f>
        <v>4.0500000000000008E-2</v>
      </c>
      <c r="S454" s="4" cm="1">
        <f t="array" ref="S454">INDEX(begin!I:I,MATCH(1, (all_inputs!A454=begin!A:A)*(all_inputs!J454=begin!C:C),0))</f>
        <v>0</v>
      </c>
      <c r="T454" s="4" cm="1">
        <f t="array" ref="T454">INDEX(begin!J:J,MATCH(1, (all_inputs!A454=begin!A:A)*(all_inputs!J454=begin!C:C),0))</f>
        <v>3.5788468800000001E-2</v>
      </c>
      <c r="U454" s="4" cm="1">
        <f t="array" ref="U454">INDEX(begin!K:K,MATCH(1, (all_inputs!A454=begin!A:A)*(all_inputs!J454=begin!C:C),0))</f>
        <v>0.60179304546133194</v>
      </c>
      <c r="V454" s="4" cm="1">
        <f t="array" ref="V454">INDEX(begin!L:L,MATCH(1, (all_inputs!A454=begin!A:A)*(all_inputs!J454=begin!C:C),0))</f>
        <v>0.36241848573866808</v>
      </c>
      <c r="W454" s="4" cm="1">
        <f t="array" ref="W454">_xlfn.IFNA(INDEX(end!I:I,MATCH(1, (all_inputs!A454=end!A:A)*(all_inputs!J454=end!C:C),0)),"")</f>
        <v>0</v>
      </c>
      <c r="X454" s="4" cm="1">
        <f t="array" ref="X454">_xlfn.IFNA(INDEX(end!J:J,MATCH(1, (all_inputs!A454=end!A:A)*(all_inputs!J454=end!C:C),0)),"")</f>
        <v>3.5788468800000001E-2</v>
      </c>
      <c r="Y454" s="4" cm="1">
        <f t="array" ref="Y454">_xlfn.IFNA(INDEX(end!K:K,MATCH(1, (all_inputs!A454=end!A:A)*(all_inputs!J454=end!C:C),0)),"")</f>
        <v>0.60179304546133194</v>
      </c>
      <c r="Z454" s="4" cm="1">
        <f t="array" ref="Z454">_xlfn.IFNA(INDEX(end!L:L,MATCH(1, (all_inputs!A454=end!A:A)*(all_inputs!J454=end!C:C),0)),"")</f>
        <v>0.36241848573866808</v>
      </c>
      <c r="AA454" t="b">
        <f>VLOOKUP(A454,ui!A$37:B$52,2,FALSE)</f>
        <v>1</v>
      </c>
    </row>
    <row r="455" spans="1:27" x14ac:dyDescent="0.25">
      <c r="A455" t="s">
        <v>29</v>
      </c>
      <c r="B455" s="40">
        <f>IF(COUNTIF(dropdown!B$2:B$12,all_inputs!A455)=1,1,IF(COUNTIF(dropdown!C$2:C$4,all_inputs!A455)=1,2,IF(COUNTIF(dropdown!D$2:D$3,all_inputs!A455)=1,3,"?")))</f>
        <v>2</v>
      </c>
      <c r="C455" t="s">
        <v>16</v>
      </c>
      <c r="D455" t="s">
        <v>467</v>
      </c>
      <c r="E455" t="s">
        <v>440</v>
      </c>
      <c r="F455">
        <f>RR!D13</f>
        <v>0.2</v>
      </c>
      <c r="G455" s="4">
        <f>ui!B$4</f>
        <v>2025</v>
      </c>
      <c r="H455" s="4">
        <f>ui!B$5</f>
        <v>2050</v>
      </c>
      <c r="I455" s="4" t="s">
        <v>93</v>
      </c>
      <c r="J455" s="4" t="str">
        <f>VLOOKUP(ui!B$2,dropdown!M:O,3,FALSE)</f>
        <v>LIC</v>
      </c>
      <c r="K455" s="4" cm="1">
        <f t="array" ref="K455">INDEX(begin!E:E,MATCH(1, (all_inputs!A455=begin!A:A)*(all_inputs!J455=begin!C:C),0))</f>
        <v>0</v>
      </c>
      <c r="L455" s="4" cm="1">
        <f t="array" ref="L455">INDEX(begin!F:F,MATCH(1, (all_inputs!A455=begin!A:A)*(all_inputs!J455=begin!C:C),0))</f>
        <v>0.05</v>
      </c>
      <c r="M455" s="4" cm="1">
        <f t="array" ref="M455">INDEX(begin!G:G,MATCH(1, (all_inputs!A455=begin!A:A)*(all_inputs!J455=begin!C:C),0))</f>
        <v>4.5000000000000005E-2</v>
      </c>
      <c r="N455" s="4">
        <f>VLOOKUP(A455,ui!A$37:C$52,3,FALSE)</f>
        <v>4.5000000000000005E-2</v>
      </c>
      <c r="O455" s="4" cm="1">
        <f t="array" ref="O455">INDEX(end!E:E,MATCH(1, (all_inputs!A455=end!A:A)*(all_inputs!J455=end!C:C),0))</f>
        <v>0</v>
      </c>
      <c r="P455" s="4" cm="1">
        <f t="array" ref="P455">INDEX(end!F:F,MATCH(1, (all_inputs!A455=end!A:A)*(all_inputs!J455=end!C:C),0))</f>
        <v>0.8</v>
      </c>
      <c r="Q455" s="4" cm="1">
        <f t="array" ref="Q455">INDEX(end!G:G,MATCH(1, (all_inputs!A455=end!A:A)*(all_inputs!J455=end!C:C),0))</f>
        <v>0.72000000000000008</v>
      </c>
      <c r="R455" s="4">
        <f>VLOOKUP(A455,ui!A$37:G$52,4,FALSE)</f>
        <v>4.0500000000000008E-2</v>
      </c>
      <c r="S455" s="4" cm="1">
        <f t="array" ref="S455">INDEX(begin!I:I,MATCH(1, (all_inputs!A455=begin!A:A)*(all_inputs!J455=begin!C:C),0))</f>
        <v>0</v>
      </c>
      <c r="T455" s="4" cm="1">
        <f t="array" ref="T455">INDEX(begin!J:J,MATCH(1, (all_inputs!A455=begin!A:A)*(all_inputs!J455=begin!C:C),0))</f>
        <v>3.5788468800000001E-2</v>
      </c>
      <c r="U455" s="4" cm="1">
        <f t="array" ref="U455">INDEX(begin!K:K,MATCH(1, (all_inputs!A455=begin!A:A)*(all_inputs!J455=begin!C:C),0))</f>
        <v>0.60179304546133194</v>
      </c>
      <c r="V455" s="4" cm="1">
        <f t="array" ref="V455">INDEX(begin!L:L,MATCH(1, (all_inputs!A455=begin!A:A)*(all_inputs!J455=begin!C:C),0))</f>
        <v>0.36241848573866808</v>
      </c>
      <c r="W455" s="4" cm="1">
        <f t="array" ref="W455">_xlfn.IFNA(INDEX(end!I:I,MATCH(1, (all_inputs!A455=end!A:A)*(all_inputs!J455=end!C:C),0)),"")</f>
        <v>0</v>
      </c>
      <c r="X455" s="4" cm="1">
        <f t="array" ref="X455">_xlfn.IFNA(INDEX(end!J:J,MATCH(1, (all_inputs!A455=end!A:A)*(all_inputs!J455=end!C:C),0)),"")</f>
        <v>3.5788468800000001E-2</v>
      </c>
      <c r="Y455" s="4" cm="1">
        <f t="array" ref="Y455">_xlfn.IFNA(INDEX(end!K:K,MATCH(1, (all_inputs!A455=end!A:A)*(all_inputs!J455=end!C:C),0)),"")</f>
        <v>0.60179304546133194</v>
      </c>
      <c r="Z455" s="4" cm="1">
        <f t="array" ref="Z455">_xlfn.IFNA(INDEX(end!L:L,MATCH(1, (all_inputs!A455=end!A:A)*(all_inputs!J455=end!C:C),0)),"")</f>
        <v>0.36241848573866808</v>
      </c>
      <c r="AA455" t="b">
        <f>VLOOKUP(A455,ui!A$37:B$52,2,FALSE)</f>
        <v>1</v>
      </c>
    </row>
    <row r="456" spans="1:27" x14ac:dyDescent="0.25">
      <c r="A456" t="s">
        <v>29</v>
      </c>
      <c r="B456" s="40">
        <f>IF(COUNTIF(dropdown!B$2:B$12,all_inputs!A456)=1,1,IF(COUNTIF(dropdown!C$2:C$4,all_inputs!A456)=1,2,IF(COUNTIF(dropdown!D$2:D$3,all_inputs!A456)=1,3,"?")))</f>
        <v>2</v>
      </c>
      <c r="C456" t="s">
        <v>17</v>
      </c>
      <c r="D456" t="s">
        <v>468</v>
      </c>
      <c r="E456" t="s">
        <v>440</v>
      </c>
      <c r="F456">
        <f>RR!E13</f>
        <v>0.5</v>
      </c>
      <c r="G456" s="4">
        <f>ui!B$4</f>
        <v>2025</v>
      </c>
      <c r="H456" s="4">
        <f>ui!B$5</f>
        <v>2050</v>
      </c>
      <c r="I456" s="4" t="s">
        <v>93</v>
      </c>
      <c r="J456" s="4" t="str">
        <f>VLOOKUP(ui!B$2,dropdown!M:O,3,FALSE)</f>
        <v>LIC</v>
      </c>
      <c r="K456" s="4" cm="1">
        <f t="array" ref="K456">INDEX(begin!E:E,MATCH(1, (all_inputs!A456=begin!A:A)*(all_inputs!J456=begin!C:C),0))</f>
        <v>0</v>
      </c>
      <c r="L456" s="4" cm="1">
        <f t="array" ref="L456">INDEX(begin!F:F,MATCH(1, (all_inputs!A456=begin!A:A)*(all_inputs!J456=begin!C:C),0))</f>
        <v>0.05</v>
      </c>
      <c r="M456" s="4" cm="1">
        <f t="array" ref="M456">INDEX(begin!G:G,MATCH(1, (all_inputs!A456=begin!A:A)*(all_inputs!J456=begin!C:C),0))</f>
        <v>4.5000000000000005E-2</v>
      </c>
      <c r="N456" s="4">
        <f>VLOOKUP(A456,ui!A$37:C$52,3,FALSE)</f>
        <v>4.5000000000000005E-2</v>
      </c>
      <c r="O456" s="4" cm="1">
        <f t="array" ref="O456">INDEX(end!E:E,MATCH(1, (all_inputs!A456=end!A:A)*(all_inputs!J456=end!C:C),0))</f>
        <v>0</v>
      </c>
      <c r="P456" s="4" cm="1">
        <f t="array" ref="P456">INDEX(end!F:F,MATCH(1, (all_inputs!A456=end!A:A)*(all_inputs!J456=end!C:C),0))</f>
        <v>0.8</v>
      </c>
      <c r="Q456" s="4" cm="1">
        <f t="array" ref="Q456">INDEX(end!G:G,MATCH(1, (all_inputs!A456=end!A:A)*(all_inputs!J456=end!C:C),0))</f>
        <v>0.72000000000000008</v>
      </c>
      <c r="R456" s="4">
        <f>VLOOKUP(A456,ui!A$37:G$52,4,FALSE)</f>
        <v>4.0500000000000008E-2</v>
      </c>
      <c r="S456" s="4" cm="1">
        <f t="array" ref="S456">INDEX(begin!I:I,MATCH(1, (all_inputs!A456=begin!A:A)*(all_inputs!J456=begin!C:C),0))</f>
        <v>0</v>
      </c>
      <c r="T456" s="4" cm="1">
        <f t="array" ref="T456">INDEX(begin!J:J,MATCH(1, (all_inputs!A456=begin!A:A)*(all_inputs!J456=begin!C:C),0))</f>
        <v>3.5788468800000001E-2</v>
      </c>
      <c r="U456" s="4" cm="1">
        <f t="array" ref="U456">INDEX(begin!K:K,MATCH(1, (all_inputs!A456=begin!A:A)*(all_inputs!J456=begin!C:C),0))</f>
        <v>0.60179304546133194</v>
      </c>
      <c r="V456" s="4" cm="1">
        <f t="array" ref="V456">INDEX(begin!L:L,MATCH(1, (all_inputs!A456=begin!A:A)*(all_inputs!J456=begin!C:C),0))</f>
        <v>0.36241848573866808</v>
      </c>
      <c r="W456" s="4" cm="1">
        <f t="array" ref="W456">_xlfn.IFNA(INDEX(end!I:I,MATCH(1, (all_inputs!A456=end!A:A)*(all_inputs!J456=end!C:C),0)),"")</f>
        <v>0</v>
      </c>
      <c r="X456" s="4" cm="1">
        <f t="array" ref="X456">_xlfn.IFNA(INDEX(end!J:J,MATCH(1, (all_inputs!A456=end!A:A)*(all_inputs!J456=end!C:C),0)),"")</f>
        <v>3.5788468800000001E-2</v>
      </c>
      <c r="Y456" s="4" cm="1">
        <f t="array" ref="Y456">_xlfn.IFNA(INDEX(end!K:K,MATCH(1, (all_inputs!A456=end!A:A)*(all_inputs!J456=end!C:C),0)),"")</f>
        <v>0.60179304546133194</v>
      </c>
      <c r="Z456" s="4" cm="1">
        <f t="array" ref="Z456">_xlfn.IFNA(INDEX(end!L:L,MATCH(1, (all_inputs!A456=end!A:A)*(all_inputs!J456=end!C:C),0)),"")</f>
        <v>0.36241848573866808</v>
      </c>
      <c r="AA456" t="b">
        <f>VLOOKUP(A456,ui!A$37:B$52,2,FALSE)</f>
        <v>1</v>
      </c>
    </row>
    <row r="457" spans="1:27" x14ac:dyDescent="0.25">
      <c r="A457" s="2" t="s">
        <v>29</v>
      </c>
      <c r="B457" s="41">
        <f>IF(COUNTIF(dropdown!B$2:B$12,all_inputs!A457)=1,1,IF(COUNTIF(dropdown!C$2:C$4,all_inputs!A457)=1,2,IF(COUNTIF(dropdown!D$2:D$3,all_inputs!A457)=1,3,"?")))</f>
        <v>2</v>
      </c>
      <c r="C457" s="2" t="s">
        <v>18</v>
      </c>
      <c r="D457" s="2" t="s">
        <v>469</v>
      </c>
      <c r="E457" s="2" t="s">
        <v>440</v>
      </c>
      <c r="F457" s="2">
        <f>RR!F13</f>
        <v>0.9</v>
      </c>
      <c r="G457" s="5">
        <f>ui!B$4</f>
        <v>2025</v>
      </c>
      <c r="H457" s="5">
        <f>ui!B$5</f>
        <v>2050</v>
      </c>
      <c r="I457" s="5" t="s">
        <v>93</v>
      </c>
      <c r="J457" s="5" t="str">
        <f>VLOOKUP(ui!B$2,dropdown!M:O,3,FALSE)</f>
        <v>LIC</v>
      </c>
      <c r="K457" s="5" cm="1">
        <f t="array" ref="K457">INDEX(begin!E:E,MATCH(1, (all_inputs!A457=begin!A:A)*(all_inputs!J457=begin!C:C),0))</f>
        <v>0</v>
      </c>
      <c r="L457" s="5" cm="1">
        <f t="array" ref="L457">INDEX(begin!F:F,MATCH(1, (all_inputs!A457=begin!A:A)*(all_inputs!J457=begin!C:C),0))</f>
        <v>0.05</v>
      </c>
      <c r="M457" s="5" cm="1">
        <f t="array" ref="M457">INDEX(begin!G:G,MATCH(1, (all_inputs!A457=begin!A:A)*(all_inputs!J457=begin!C:C),0))</f>
        <v>4.5000000000000005E-2</v>
      </c>
      <c r="N457" s="5">
        <f>VLOOKUP(A457,ui!A$37:C$52,3,FALSE)</f>
        <v>4.5000000000000005E-2</v>
      </c>
      <c r="O457" s="5" cm="1">
        <f t="array" ref="O457">INDEX(end!E:E,MATCH(1, (all_inputs!A457=end!A:A)*(all_inputs!J457=end!C:C),0))</f>
        <v>0</v>
      </c>
      <c r="P457" s="5" cm="1">
        <f t="array" ref="P457">INDEX(end!F:F,MATCH(1, (all_inputs!A457=end!A:A)*(all_inputs!J457=end!C:C),0))</f>
        <v>0.8</v>
      </c>
      <c r="Q457" s="5" cm="1">
        <f t="array" ref="Q457">INDEX(end!G:G,MATCH(1, (all_inputs!A457=end!A:A)*(all_inputs!J457=end!C:C),0))</f>
        <v>0.72000000000000008</v>
      </c>
      <c r="R457" s="5">
        <f>VLOOKUP(A457,ui!A$37:G$52,4,FALSE)</f>
        <v>4.0500000000000008E-2</v>
      </c>
      <c r="S457" s="5" cm="1">
        <f t="array" ref="S457">INDEX(begin!I:I,MATCH(1, (all_inputs!A457=begin!A:A)*(all_inputs!J457=begin!C:C),0))</f>
        <v>0</v>
      </c>
      <c r="T457" s="5" cm="1">
        <f t="array" ref="T457">INDEX(begin!J:J,MATCH(1, (all_inputs!A457=begin!A:A)*(all_inputs!J457=begin!C:C),0))</f>
        <v>3.5788468800000001E-2</v>
      </c>
      <c r="U457" s="5" cm="1">
        <f t="array" ref="U457">INDEX(begin!K:K,MATCH(1, (all_inputs!A457=begin!A:A)*(all_inputs!J457=begin!C:C),0))</f>
        <v>0.60179304546133194</v>
      </c>
      <c r="V457" s="5" cm="1">
        <f t="array" ref="V457">INDEX(begin!L:L,MATCH(1, (all_inputs!A457=begin!A:A)*(all_inputs!J457=begin!C:C),0))</f>
        <v>0.36241848573866808</v>
      </c>
      <c r="W457" s="5" cm="1">
        <f t="array" ref="W457">_xlfn.IFNA(INDEX(end!I:I,MATCH(1, (all_inputs!A457=end!A:A)*(all_inputs!J457=end!C:C),0)),"")</f>
        <v>0</v>
      </c>
      <c r="X457" s="5" cm="1">
        <f t="array" ref="X457">_xlfn.IFNA(INDEX(end!J:J,MATCH(1, (all_inputs!A457=end!A:A)*(all_inputs!J457=end!C:C),0)),"")</f>
        <v>3.5788468800000001E-2</v>
      </c>
      <c r="Y457" s="5" cm="1">
        <f t="array" ref="Y457">_xlfn.IFNA(INDEX(end!K:K,MATCH(1, (all_inputs!A457=end!A:A)*(all_inputs!J457=end!C:C),0)),"")</f>
        <v>0.60179304546133194</v>
      </c>
      <c r="Z457" s="5" cm="1">
        <f t="array" ref="Z457">_xlfn.IFNA(INDEX(end!L:L,MATCH(1, (all_inputs!A457=end!A:A)*(all_inputs!J457=end!C:C),0)),"")</f>
        <v>0.36241848573866808</v>
      </c>
      <c r="AA457" s="2" t="b">
        <f>VLOOKUP(A457,ui!A$37:B$52,2,FALSE)</f>
        <v>1</v>
      </c>
    </row>
    <row r="458" spans="1:27" x14ac:dyDescent="0.25">
      <c r="A458" t="s">
        <v>30</v>
      </c>
      <c r="B458" s="40">
        <f>IF(COUNTIF(dropdown!B$2:B$12,all_inputs!A458)=1,1,IF(COUNTIF(dropdown!C$2:C$4,all_inputs!A458)=1,2,IF(COUNTIF(dropdown!D$2:D$3,all_inputs!A458)=1,3,"?")))</f>
        <v>1</v>
      </c>
      <c r="C458" t="s">
        <v>13</v>
      </c>
      <c r="D458" t="s">
        <v>472</v>
      </c>
      <c r="E458" t="s">
        <v>440</v>
      </c>
      <c r="F458" s="4" cm="1">
        <f t="array" ref="F458">IF(B458&lt;&gt;3,1,_xlfn.IFNA(INDEX(#REF!,MATCH(1, (all_inputs!A458=#REF!)*(all_inputs!D458=#REF!),0)),1))</f>
        <v>1</v>
      </c>
      <c r="G458" s="4">
        <f>ui!B$4</f>
        <v>2025</v>
      </c>
      <c r="H458" s="4">
        <f>ui!B$5</f>
        <v>2050</v>
      </c>
      <c r="I458" s="4" t="s">
        <v>93</v>
      </c>
      <c r="J458" s="4" t="str">
        <f>VLOOKUP(ui!B$2,dropdown!M:O,3,FALSE)</f>
        <v>LIC</v>
      </c>
      <c r="K458" s="4" cm="1">
        <f t="array" ref="K458">INDEX(begin!E:E,MATCH(1, (all_inputs!A458=begin!A:A)*(all_inputs!J458=begin!C:C),0))</f>
        <v>0</v>
      </c>
      <c r="L458" s="4" cm="1">
        <f t="array" ref="L458">INDEX(begin!F:F,MATCH(1, (all_inputs!A458=begin!A:A)*(all_inputs!J458=begin!C:C),0))</f>
        <v>0.05</v>
      </c>
      <c r="M458" s="4" cm="1">
        <f t="array" ref="M458">INDEX(begin!G:G,MATCH(1, (all_inputs!A458=begin!A:A)*(all_inputs!J458=begin!C:C),0))</f>
        <v>4.5000000000000005E-2</v>
      </c>
      <c r="N458" s="4">
        <f>VLOOKUP(A458,ui!A$37:C$52,3,FALSE)</f>
        <v>4.5000000000000005E-2</v>
      </c>
      <c r="O458" s="4" cm="1">
        <f t="array" ref="O458">INDEX(end!E:E,MATCH(1, (all_inputs!A458=end!A:A)*(all_inputs!J458=end!C:C),0))</f>
        <v>0</v>
      </c>
      <c r="P458" s="4" cm="1">
        <f t="array" ref="P458">INDEX(end!F:F,MATCH(1, (all_inputs!A458=end!A:A)*(all_inputs!J458=end!C:C),0))</f>
        <v>0.8</v>
      </c>
      <c r="Q458" s="4" cm="1">
        <f t="array" ref="Q458">INDEX(end!G:G,MATCH(1, (all_inputs!A458=end!A:A)*(all_inputs!J458=end!C:C),0))</f>
        <v>0.72000000000000008</v>
      </c>
      <c r="R458" s="4">
        <f>VLOOKUP(A458,ui!A$37:G$52,4,FALSE)</f>
        <v>4.0500000000000008E-2</v>
      </c>
      <c r="S458" s="4" cm="1">
        <f t="array" ref="S458">INDEX(begin!I:I,MATCH(1, (all_inputs!A458=begin!A:A)*(all_inputs!J458=begin!C:C),0))</f>
        <v>0</v>
      </c>
      <c r="T458" s="4" cm="1">
        <f t="array" ref="T458">INDEX(begin!J:J,MATCH(1, (all_inputs!A458=begin!A:A)*(all_inputs!J458=begin!C:C),0))</f>
        <v>1</v>
      </c>
      <c r="U458" s="4" cm="1">
        <f t="array" ref="U458">INDEX(begin!K:K,MATCH(1, (all_inputs!A458=begin!A:A)*(all_inputs!J458=begin!C:C),0))</f>
        <v>0</v>
      </c>
      <c r="V458" s="4" cm="1">
        <f t="array" ref="V458">INDEX(begin!L:L,MATCH(1, (all_inputs!A458=begin!A:A)*(all_inputs!J458=begin!C:C),0))</f>
        <v>0</v>
      </c>
      <c r="W458" s="4" cm="1">
        <f t="array" ref="W458">_xlfn.IFNA(INDEX(end!I:I,MATCH(1, (all_inputs!A458=end!A:A)*(all_inputs!J458=end!C:C),0)),"")</f>
        <v>0</v>
      </c>
      <c r="X458" s="4" cm="1">
        <f t="array" ref="X458">_xlfn.IFNA(INDEX(end!J:J,MATCH(1, (all_inputs!A458=end!A:A)*(all_inputs!J458=end!C:C),0)),"")</f>
        <v>1</v>
      </c>
      <c r="Y458" s="4" cm="1">
        <f t="array" ref="Y458">_xlfn.IFNA(INDEX(end!K:K,MATCH(1, (all_inputs!A458=end!A:A)*(all_inputs!J458=end!C:C),0)),"")</f>
        <v>0</v>
      </c>
      <c r="Z458" s="4" cm="1">
        <f t="array" ref="Z458">_xlfn.IFNA(INDEX(end!L:L,MATCH(1, (all_inputs!A458=end!A:A)*(all_inputs!J458=end!C:C),0)),"")</f>
        <v>0</v>
      </c>
      <c r="AA458" t="b">
        <f>VLOOKUP(A458,ui!A$37:B$52,2,FALSE)</f>
        <v>0</v>
      </c>
    </row>
    <row r="459" spans="1:27" x14ac:dyDescent="0.25">
      <c r="A459" t="s">
        <v>30</v>
      </c>
      <c r="B459" s="40">
        <f>IF(COUNTIF(dropdown!B$2:B$12,all_inputs!A459)=1,1,IF(COUNTIF(dropdown!C$2:C$4,all_inputs!A459)=1,2,IF(COUNTIF(dropdown!D$2:D$3,all_inputs!A459)=1,3,"?")))</f>
        <v>1</v>
      </c>
      <c r="C459" t="s">
        <v>14</v>
      </c>
      <c r="D459" t="s">
        <v>466</v>
      </c>
      <c r="E459" t="s">
        <v>440</v>
      </c>
      <c r="F459">
        <f>RR!C14</f>
        <v>1</v>
      </c>
      <c r="G459" s="4">
        <f>ui!B$4</f>
        <v>2025</v>
      </c>
      <c r="H459" s="4">
        <f>ui!B$5</f>
        <v>2050</v>
      </c>
      <c r="I459" s="4" t="s">
        <v>93</v>
      </c>
      <c r="J459" s="4" t="str">
        <f>VLOOKUP(ui!B$2,dropdown!M:O,3,FALSE)</f>
        <v>LIC</v>
      </c>
      <c r="K459" s="4" cm="1">
        <f t="array" ref="K459">INDEX(begin!E:E,MATCH(1, (all_inputs!A459=begin!A:A)*(all_inputs!J459=begin!C:C),0))</f>
        <v>0</v>
      </c>
      <c r="L459" s="4" cm="1">
        <f t="array" ref="L459">INDEX(begin!F:F,MATCH(1, (all_inputs!A459=begin!A:A)*(all_inputs!J459=begin!C:C),0))</f>
        <v>0.05</v>
      </c>
      <c r="M459" s="4" cm="1">
        <f t="array" ref="M459">INDEX(begin!G:G,MATCH(1, (all_inputs!A459=begin!A:A)*(all_inputs!J459=begin!C:C),0))</f>
        <v>4.5000000000000005E-2</v>
      </c>
      <c r="N459" s="4">
        <f>VLOOKUP(A459,ui!A$37:C$52,3,FALSE)</f>
        <v>4.5000000000000005E-2</v>
      </c>
      <c r="O459" s="4" cm="1">
        <f t="array" ref="O459">INDEX(end!E:E,MATCH(1, (all_inputs!A459=end!A:A)*(all_inputs!J459=end!C:C),0))</f>
        <v>0</v>
      </c>
      <c r="P459" s="4" cm="1">
        <f t="array" ref="P459">INDEX(end!F:F,MATCH(1, (all_inputs!A459=end!A:A)*(all_inputs!J459=end!C:C),0))</f>
        <v>0.8</v>
      </c>
      <c r="Q459" s="4" cm="1">
        <f t="array" ref="Q459">INDEX(end!G:G,MATCH(1, (all_inputs!A459=end!A:A)*(all_inputs!J459=end!C:C),0))</f>
        <v>0.72000000000000008</v>
      </c>
      <c r="R459" s="4">
        <f>VLOOKUP(A459,ui!A$37:G$52,4,FALSE)</f>
        <v>4.0500000000000008E-2</v>
      </c>
      <c r="S459" s="4" cm="1">
        <f t="array" ref="S459">INDEX(begin!I:I,MATCH(1, (all_inputs!A459=begin!A:A)*(all_inputs!J459=begin!C:C),0))</f>
        <v>0</v>
      </c>
      <c r="T459" s="4" cm="1">
        <f t="array" ref="T459">INDEX(begin!J:J,MATCH(1, (all_inputs!A459=begin!A:A)*(all_inputs!J459=begin!C:C),0))</f>
        <v>1</v>
      </c>
      <c r="U459" s="4" cm="1">
        <f t="array" ref="U459">INDEX(begin!K:K,MATCH(1, (all_inputs!A459=begin!A:A)*(all_inputs!J459=begin!C:C),0))</f>
        <v>0</v>
      </c>
      <c r="V459" s="4" cm="1">
        <f t="array" ref="V459">INDEX(begin!L:L,MATCH(1, (all_inputs!A459=begin!A:A)*(all_inputs!J459=begin!C:C),0))</f>
        <v>0</v>
      </c>
      <c r="W459" s="4" cm="1">
        <f t="array" ref="W459">_xlfn.IFNA(INDEX(end!I:I,MATCH(1, (all_inputs!A459=end!A:A)*(all_inputs!J459=end!C:C),0)),"")</f>
        <v>0</v>
      </c>
      <c r="X459" s="4" cm="1">
        <f t="array" ref="X459">_xlfn.IFNA(INDEX(end!J:J,MATCH(1, (all_inputs!A459=end!A:A)*(all_inputs!J459=end!C:C),0)),"")</f>
        <v>1</v>
      </c>
      <c r="Y459" s="4" cm="1">
        <f t="array" ref="Y459">_xlfn.IFNA(INDEX(end!K:K,MATCH(1, (all_inputs!A459=end!A:A)*(all_inputs!J459=end!C:C),0)),"")</f>
        <v>0</v>
      </c>
      <c r="Z459" s="4" cm="1">
        <f t="array" ref="Z459">_xlfn.IFNA(INDEX(end!L:L,MATCH(1, (all_inputs!A459=end!A:A)*(all_inputs!J459=end!C:C),0)),"")</f>
        <v>0</v>
      </c>
      <c r="AA459" t="b">
        <f>VLOOKUP(A459,ui!A$37:B$52,2,FALSE)</f>
        <v>0</v>
      </c>
    </row>
    <row r="460" spans="1:27" x14ac:dyDescent="0.25">
      <c r="A460" t="s">
        <v>30</v>
      </c>
      <c r="B460" s="40">
        <f>IF(COUNTIF(dropdown!B$2:B$12,all_inputs!A460)=1,1,IF(COUNTIF(dropdown!C$2:C$4,all_inputs!A460)=1,2,IF(COUNTIF(dropdown!D$2:D$3,all_inputs!A460)=1,3,"?")))</f>
        <v>1</v>
      </c>
      <c r="C460" t="s">
        <v>15</v>
      </c>
      <c r="D460" t="s">
        <v>466</v>
      </c>
      <c r="E460" t="s">
        <v>440</v>
      </c>
      <c r="F460" s="4" cm="1">
        <f t="array" ref="F460">IF(B460&lt;&gt;3,1,_xlfn.IFNA(INDEX(#REF!,MATCH(1, (all_inputs!A460=#REF!)*(all_inputs!D460=#REF!),0)),1))</f>
        <v>1</v>
      </c>
      <c r="G460" s="4">
        <f>ui!B$4</f>
        <v>2025</v>
      </c>
      <c r="H460" s="4">
        <f>ui!B$5</f>
        <v>2050</v>
      </c>
      <c r="I460" s="4" t="s">
        <v>93</v>
      </c>
      <c r="J460" s="4" t="str">
        <f>VLOOKUP(ui!B$2,dropdown!M:O,3,FALSE)</f>
        <v>LIC</v>
      </c>
      <c r="K460" s="4" cm="1">
        <f t="array" ref="K460">INDEX(begin!E:E,MATCH(1, (all_inputs!A460=begin!A:A)*(all_inputs!J460=begin!C:C),0))</f>
        <v>0</v>
      </c>
      <c r="L460" s="4" cm="1">
        <f t="array" ref="L460">INDEX(begin!F:F,MATCH(1, (all_inputs!A460=begin!A:A)*(all_inputs!J460=begin!C:C),0))</f>
        <v>0.05</v>
      </c>
      <c r="M460" s="4" cm="1">
        <f t="array" ref="M460">INDEX(begin!G:G,MATCH(1, (all_inputs!A460=begin!A:A)*(all_inputs!J460=begin!C:C),0))</f>
        <v>4.5000000000000005E-2</v>
      </c>
      <c r="N460" s="4">
        <f>VLOOKUP(A460,ui!A$37:C$52,3,FALSE)</f>
        <v>4.5000000000000005E-2</v>
      </c>
      <c r="O460" s="4" cm="1">
        <f t="array" ref="O460">INDEX(end!E:E,MATCH(1, (all_inputs!A460=end!A:A)*(all_inputs!J460=end!C:C),0))</f>
        <v>0</v>
      </c>
      <c r="P460" s="4" cm="1">
        <f t="array" ref="P460">INDEX(end!F:F,MATCH(1, (all_inputs!A460=end!A:A)*(all_inputs!J460=end!C:C),0))</f>
        <v>0.8</v>
      </c>
      <c r="Q460" s="4" cm="1">
        <f t="array" ref="Q460">INDEX(end!G:G,MATCH(1, (all_inputs!A460=end!A:A)*(all_inputs!J460=end!C:C),0))</f>
        <v>0.72000000000000008</v>
      </c>
      <c r="R460" s="4">
        <f>VLOOKUP(A460,ui!A$37:G$52,4,FALSE)</f>
        <v>4.0500000000000008E-2</v>
      </c>
      <c r="S460" s="4" cm="1">
        <f t="array" ref="S460">INDEX(begin!I:I,MATCH(1, (all_inputs!A460=begin!A:A)*(all_inputs!J460=begin!C:C),0))</f>
        <v>0</v>
      </c>
      <c r="T460" s="4" cm="1">
        <f t="array" ref="T460">INDEX(begin!J:J,MATCH(1, (all_inputs!A460=begin!A:A)*(all_inputs!J460=begin!C:C),0))</f>
        <v>1</v>
      </c>
      <c r="U460" s="4" cm="1">
        <f t="array" ref="U460">INDEX(begin!K:K,MATCH(1, (all_inputs!A460=begin!A:A)*(all_inputs!J460=begin!C:C),0))</f>
        <v>0</v>
      </c>
      <c r="V460" s="4" cm="1">
        <f t="array" ref="V460">INDEX(begin!L:L,MATCH(1, (all_inputs!A460=begin!A:A)*(all_inputs!J460=begin!C:C),0))</f>
        <v>0</v>
      </c>
      <c r="W460" s="4" cm="1">
        <f t="array" ref="W460">_xlfn.IFNA(INDEX(end!I:I,MATCH(1, (all_inputs!A460=end!A:A)*(all_inputs!J460=end!C:C),0)),"")</f>
        <v>0</v>
      </c>
      <c r="X460" s="4" cm="1">
        <f t="array" ref="X460">_xlfn.IFNA(INDEX(end!J:J,MATCH(1, (all_inputs!A460=end!A:A)*(all_inputs!J460=end!C:C),0)),"")</f>
        <v>1</v>
      </c>
      <c r="Y460" s="4" cm="1">
        <f t="array" ref="Y460">_xlfn.IFNA(INDEX(end!K:K,MATCH(1, (all_inputs!A460=end!A:A)*(all_inputs!J460=end!C:C),0)),"")</f>
        <v>0</v>
      </c>
      <c r="Z460" s="4" cm="1">
        <f t="array" ref="Z460">_xlfn.IFNA(INDEX(end!L:L,MATCH(1, (all_inputs!A460=end!A:A)*(all_inputs!J460=end!C:C),0)),"")</f>
        <v>0</v>
      </c>
      <c r="AA460" t="b">
        <f>VLOOKUP(A460,ui!A$37:B$52,2,FALSE)</f>
        <v>0</v>
      </c>
    </row>
    <row r="461" spans="1:27" x14ac:dyDescent="0.25">
      <c r="A461" t="s">
        <v>30</v>
      </c>
      <c r="B461" s="40">
        <f>IF(COUNTIF(dropdown!B$2:B$12,all_inputs!A461)=1,1,IF(COUNTIF(dropdown!C$2:C$4,all_inputs!A461)=1,2,IF(COUNTIF(dropdown!D$2:D$3,all_inputs!A461)=1,3,"?")))</f>
        <v>1</v>
      </c>
      <c r="C461" t="s">
        <v>16</v>
      </c>
      <c r="D461" t="s">
        <v>467</v>
      </c>
      <c r="E461" t="s">
        <v>440</v>
      </c>
      <c r="F461" s="4" cm="1">
        <f t="array" ref="F461">IF(B461&lt;&gt;3,1,_xlfn.IFNA(INDEX(#REF!,MATCH(1, (all_inputs!A461=#REF!)*(all_inputs!D461=#REF!),0)),1))</f>
        <v>1</v>
      </c>
      <c r="G461" s="4">
        <f>ui!B$4</f>
        <v>2025</v>
      </c>
      <c r="H461" s="4">
        <f>ui!B$5</f>
        <v>2050</v>
      </c>
      <c r="I461" s="4" t="s">
        <v>93</v>
      </c>
      <c r="J461" s="4" t="str">
        <f>VLOOKUP(ui!B$2,dropdown!M:O,3,FALSE)</f>
        <v>LIC</v>
      </c>
      <c r="K461" s="4" cm="1">
        <f t="array" ref="K461">INDEX(begin!E:E,MATCH(1, (all_inputs!A461=begin!A:A)*(all_inputs!J461=begin!C:C),0))</f>
        <v>0</v>
      </c>
      <c r="L461" s="4" cm="1">
        <f t="array" ref="L461">INDEX(begin!F:F,MATCH(1, (all_inputs!A461=begin!A:A)*(all_inputs!J461=begin!C:C),0))</f>
        <v>0.05</v>
      </c>
      <c r="M461" s="4" cm="1">
        <f t="array" ref="M461">INDEX(begin!G:G,MATCH(1, (all_inputs!A461=begin!A:A)*(all_inputs!J461=begin!C:C),0))</f>
        <v>4.5000000000000005E-2</v>
      </c>
      <c r="N461" s="4">
        <f>VLOOKUP(A461,ui!A$37:C$52,3,FALSE)</f>
        <v>4.5000000000000005E-2</v>
      </c>
      <c r="O461" s="4" cm="1">
        <f t="array" ref="O461">INDEX(end!E:E,MATCH(1, (all_inputs!A461=end!A:A)*(all_inputs!J461=end!C:C),0))</f>
        <v>0</v>
      </c>
      <c r="P461" s="4" cm="1">
        <f t="array" ref="P461">INDEX(end!F:F,MATCH(1, (all_inputs!A461=end!A:A)*(all_inputs!J461=end!C:C),0))</f>
        <v>0.8</v>
      </c>
      <c r="Q461" s="4" cm="1">
        <f t="array" ref="Q461">INDEX(end!G:G,MATCH(1, (all_inputs!A461=end!A:A)*(all_inputs!J461=end!C:C),0))</f>
        <v>0.72000000000000008</v>
      </c>
      <c r="R461" s="4">
        <f>VLOOKUP(A461,ui!A$37:G$52,4,FALSE)</f>
        <v>4.0500000000000008E-2</v>
      </c>
      <c r="S461" s="4" cm="1">
        <f t="array" ref="S461">INDEX(begin!I:I,MATCH(1, (all_inputs!A461=begin!A:A)*(all_inputs!J461=begin!C:C),0))</f>
        <v>0</v>
      </c>
      <c r="T461" s="4" cm="1">
        <f t="array" ref="T461">INDEX(begin!J:J,MATCH(1, (all_inputs!A461=begin!A:A)*(all_inputs!J461=begin!C:C),0))</f>
        <v>1</v>
      </c>
      <c r="U461" s="4" cm="1">
        <f t="array" ref="U461">INDEX(begin!K:K,MATCH(1, (all_inputs!A461=begin!A:A)*(all_inputs!J461=begin!C:C),0))</f>
        <v>0</v>
      </c>
      <c r="V461" s="4" cm="1">
        <f t="array" ref="V461">INDEX(begin!L:L,MATCH(1, (all_inputs!A461=begin!A:A)*(all_inputs!J461=begin!C:C),0))</f>
        <v>0</v>
      </c>
      <c r="W461" s="4" cm="1">
        <f t="array" ref="W461">_xlfn.IFNA(INDEX(end!I:I,MATCH(1, (all_inputs!A461=end!A:A)*(all_inputs!J461=end!C:C),0)),"")</f>
        <v>0</v>
      </c>
      <c r="X461" s="4" cm="1">
        <f t="array" ref="X461">_xlfn.IFNA(INDEX(end!J:J,MATCH(1, (all_inputs!A461=end!A:A)*(all_inputs!J461=end!C:C),0)),"")</f>
        <v>1</v>
      </c>
      <c r="Y461" s="4" cm="1">
        <f t="array" ref="Y461">_xlfn.IFNA(INDEX(end!K:K,MATCH(1, (all_inputs!A461=end!A:A)*(all_inputs!J461=end!C:C),0)),"")</f>
        <v>0</v>
      </c>
      <c r="Z461" s="4" cm="1">
        <f t="array" ref="Z461">_xlfn.IFNA(INDEX(end!L:L,MATCH(1, (all_inputs!A461=end!A:A)*(all_inputs!J461=end!C:C),0)),"")</f>
        <v>0</v>
      </c>
      <c r="AA461" t="b">
        <f>VLOOKUP(A461,ui!A$37:B$52,2,FALSE)</f>
        <v>0</v>
      </c>
    </row>
    <row r="462" spans="1:27" x14ac:dyDescent="0.25">
      <c r="A462" t="s">
        <v>30</v>
      </c>
      <c r="B462" s="40">
        <f>IF(COUNTIF(dropdown!B$2:B$12,all_inputs!A462)=1,1,IF(COUNTIF(dropdown!C$2:C$4,all_inputs!A462)=1,2,IF(COUNTIF(dropdown!D$2:D$3,all_inputs!A462)=1,3,"?")))</f>
        <v>1</v>
      </c>
      <c r="C462" t="s">
        <v>17</v>
      </c>
      <c r="D462" t="s">
        <v>468</v>
      </c>
      <c r="E462" t="s">
        <v>440</v>
      </c>
      <c r="F462" s="4" cm="1">
        <f t="array" ref="F462">IF(B462&lt;&gt;3,1,_xlfn.IFNA(INDEX(#REF!,MATCH(1, (all_inputs!A462=#REF!)*(all_inputs!D462=#REF!),0)),1))</f>
        <v>1</v>
      </c>
      <c r="G462" s="4">
        <f>ui!B$4</f>
        <v>2025</v>
      </c>
      <c r="H462" s="4">
        <f>ui!B$5</f>
        <v>2050</v>
      </c>
      <c r="I462" s="4" t="s">
        <v>93</v>
      </c>
      <c r="J462" s="4" t="str">
        <f>VLOOKUP(ui!B$2,dropdown!M:O,3,FALSE)</f>
        <v>LIC</v>
      </c>
      <c r="K462" s="4" cm="1">
        <f t="array" ref="K462">INDEX(begin!E:E,MATCH(1, (all_inputs!A462=begin!A:A)*(all_inputs!J462=begin!C:C),0))</f>
        <v>0</v>
      </c>
      <c r="L462" s="4" cm="1">
        <f t="array" ref="L462">INDEX(begin!F:F,MATCH(1, (all_inputs!A462=begin!A:A)*(all_inputs!J462=begin!C:C),0))</f>
        <v>0.05</v>
      </c>
      <c r="M462" s="4" cm="1">
        <f t="array" ref="M462">INDEX(begin!G:G,MATCH(1, (all_inputs!A462=begin!A:A)*(all_inputs!J462=begin!C:C),0))</f>
        <v>4.5000000000000005E-2</v>
      </c>
      <c r="N462" s="4">
        <f>VLOOKUP(A462,ui!A$37:C$52,3,FALSE)</f>
        <v>4.5000000000000005E-2</v>
      </c>
      <c r="O462" s="4" cm="1">
        <f t="array" ref="O462">INDEX(end!E:E,MATCH(1, (all_inputs!A462=end!A:A)*(all_inputs!J462=end!C:C),0))</f>
        <v>0</v>
      </c>
      <c r="P462" s="4" cm="1">
        <f t="array" ref="P462">INDEX(end!F:F,MATCH(1, (all_inputs!A462=end!A:A)*(all_inputs!J462=end!C:C),0))</f>
        <v>0.8</v>
      </c>
      <c r="Q462" s="4" cm="1">
        <f t="array" ref="Q462">INDEX(end!G:G,MATCH(1, (all_inputs!A462=end!A:A)*(all_inputs!J462=end!C:C),0))</f>
        <v>0.72000000000000008</v>
      </c>
      <c r="R462" s="4">
        <f>VLOOKUP(A462,ui!A$37:G$52,4,FALSE)</f>
        <v>4.0500000000000008E-2</v>
      </c>
      <c r="S462" s="4" cm="1">
        <f t="array" ref="S462">INDEX(begin!I:I,MATCH(1, (all_inputs!A462=begin!A:A)*(all_inputs!J462=begin!C:C),0))</f>
        <v>0</v>
      </c>
      <c r="T462" s="4" cm="1">
        <f t="array" ref="T462">INDEX(begin!J:J,MATCH(1, (all_inputs!A462=begin!A:A)*(all_inputs!J462=begin!C:C),0))</f>
        <v>1</v>
      </c>
      <c r="U462" s="4" cm="1">
        <f t="array" ref="U462">INDEX(begin!K:K,MATCH(1, (all_inputs!A462=begin!A:A)*(all_inputs!J462=begin!C:C),0))</f>
        <v>0</v>
      </c>
      <c r="V462" s="4" cm="1">
        <f t="array" ref="V462">INDEX(begin!L:L,MATCH(1, (all_inputs!A462=begin!A:A)*(all_inputs!J462=begin!C:C),0))</f>
        <v>0</v>
      </c>
      <c r="W462" s="4" cm="1">
        <f t="array" ref="W462">_xlfn.IFNA(INDEX(end!I:I,MATCH(1, (all_inputs!A462=end!A:A)*(all_inputs!J462=end!C:C),0)),"")</f>
        <v>0</v>
      </c>
      <c r="X462" s="4" cm="1">
        <f t="array" ref="X462">_xlfn.IFNA(INDEX(end!J:J,MATCH(1, (all_inputs!A462=end!A:A)*(all_inputs!J462=end!C:C),0)),"")</f>
        <v>1</v>
      </c>
      <c r="Y462" s="4" cm="1">
        <f t="array" ref="Y462">_xlfn.IFNA(INDEX(end!K:K,MATCH(1, (all_inputs!A462=end!A:A)*(all_inputs!J462=end!C:C),0)),"")</f>
        <v>0</v>
      </c>
      <c r="Z462" s="4" cm="1">
        <f t="array" ref="Z462">_xlfn.IFNA(INDEX(end!L:L,MATCH(1, (all_inputs!A462=end!A:A)*(all_inputs!J462=end!C:C),0)),"")</f>
        <v>0</v>
      </c>
      <c r="AA462" t="b">
        <f>VLOOKUP(A462,ui!A$37:B$52,2,FALSE)</f>
        <v>0</v>
      </c>
    </row>
    <row r="463" spans="1:27" x14ac:dyDescent="0.25">
      <c r="A463" s="2" t="s">
        <v>30</v>
      </c>
      <c r="B463" s="41">
        <f>IF(COUNTIF(dropdown!B$2:B$12,all_inputs!A463)=1,1,IF(COUNTIF(dropdown!C$2:C$4,all_inputs!A463)=1,2,IF(COUNTIF(dropdown!D$2:D$3,all_inputs!A463)=1,3,"?")))</f>
        <v>1</v>
      </c>
      <c r="C463" s="2" t="s">
        <v>18</v>
      </c>
      <c r="D463" s="2" t="s">
        <v>469</v>
      </c>
      <c r="E463" s="2" t="s">
        <v>440</v>
      </c>
      <c r="F463" s="2">
        <f>RR!F14</f>
        <v>0.8</v>
      </c>
      <c r="G463" s="5">
        <f>ui!B$4</f>
        <v>2025</v>
      </c>
      <c r="H463" s="5">
        <f>ui!B$5</f>
        <v>2050</v>
      </c>
      <c r="I463" s="5" t="s">
        <v>93</v>
      </c>
      <c r="J463" s="5" t="str">
        <f>VLOOKUP(ui!B$2,dropdown!M:O,3,FALSE)</f>
        <v>LIC</v>
      </c>
      <c r="K463" s="5" cm="1">
        <f t="array" ref="K463">INDEX(begin!E:E,MATCH(1, (all_inputs!A463=begin!A:A)*(all_inputs!J463=begin!C:C),0))</f>
        <v>0</v>
      </c>
      <c r="L463" s="5" cm="1">
        <f t="array" ref="L463">INDEX(begin!F:F,MATCH(1, (all_inputs!A463=begin!A:A)*(all_inputs!J463=begin!C:C),0))</f>
        <v>0.05</v>
      </c>
      <c r="M463" s="5" cm="1">
        <f t="array" ref="M463">INDEX(begin!G:G,MATCH(1, (all_inputs!A463=begin!A:A)*(all_inputs!J463=begin!C:C),0))</f>
        <v>4.5000000000000005E-2</v>
      </c>
      <c r="N463" s="5">
        <f>VLOOKUP(A463,ui!A$37:C$52,3,FALSE)</f>
        <v>4.5000000000000005E-2</v>
      </c>
      <c r="O463" s="5" cm="1">
        <f t="array" ref="O463">INDEX(end!E:E,MATCH(1, (all_inputs!A463=end!A:A)*(all_inputs!J463=end!C:C),0))</f>
        <v>0</v>
      </c>
      <c r="P463" s="5" cm="1">
        <f t="array" ref="P463">INDEX(end!F:F,MATCH(1, (all_inputs!A463=end!A:A)*(all_inputs!J463=end!C:C),0))</f>
        <v>0.8</v>
      </c>
      <c r="Q463" s="5" cm="1">
        <f t="array" ref="Q463">INDEX(end!G:G,MATCH(1, (all_inputs!A463=end!A:A)*(all_inputs!J463=end!C:C),0))</f>
        <v>0.72000000000000008</v>
      </c>
      <c r="R463" s="5">
        <f>VLOOKUP(A463,ui!A$37:G$52,4,FALSE)</f>
        <v>4.0500000000000008E-2</v>
      </c>
      <c r="S463" s="5" cm="1">
        <f t="array" ref="S463">INDEX(begin!I:I,MATCH(1, (all_inputs!A463=begin!A:A)*(all_inputs!J463=begin!C:C),0))</f>
        <v>0</v>
      </c>
      <c r="T463" s="5" cm="1">
        <f t="array" ref="T463">INDEX(begin!J:J,MATCH(1, (all_inputs!A463=begin!A:A)*(all_inputs!J463=begin!C:C),0))</f>
        <v>1</v>
      </c>
      <c r="U463" s="5" cm="1">
        <f t="array" ref="U463">INDEX(begin!K:K,MATCH(1, (all_inputs!A463=begin!A:A)*(all_inputs!J463=begin!C:C),0))</f>
        <v>0</v>
      </c>
      <c r="V463" s="5" cm="1">
        <f t="array" ref="V463">INDEX(begin!L:L,MATCH(1, (all_inputs!A463=begin!A:A)*(all_inputs!J463=begin!C:C),0))</f>
        <v>0</v>
      </c>
      <c r="W463" s="5" cm="1">
        <f t="array" ref="W463">_xlfn.IFNA(INDEX(end!I:I,MATCH(1, (all_inputs!A463=end!A:A)*(all_inputs!J463=end!C:C),0)),"")</f>
        <v>0</v>
      </c>
      <c r="X463" s="5" cm="1">
        <f t="array" ref="X463">_xlfn.IFNA(INDEX(end!J:J,MATCH(1, (all_inputs!A463=end!A:A)*(all_inputs!J463=end!C:C),0)),"")</f>
        <v>1</v>
      </c>
      <c r="Y463" s="5" cm="1">
        <f t="array" ref="Y463">_xlfn.IFNA(INDEX(end!K:K,MATCH(1, (all_inputs!A463=end!A:A)*(all_inputs!J463=end!C:C),0)),"")</f>
        <v>0</v>
      </c>
      <c r="Z463" s="5" cm="1">
        <f t="array" ref="Z463">_xlfn.IFNA(INDEX(end!L:L,MATCH(1, (all_inputs!A463=end!A:A)*(all_inputs!J463=end!C:C),0)),"")</f>
        <v>0</v>
      </c>
      <c r="AA463" s="2" t="b">
        <f>VLOOKUP(A463,ui!A$37:B$52,2,FALSE)</f>
        <v>0</v>
      </c>
    </row>
    <row r="464" spans="1:27" x14ac:dyDescent="0.25">
      <c r="A464" t="s">
        <v>31</v>
      </c>
      <c r="B464" s="40">
        <f>IF(COUNTIF(dropdown!B$2:B$12,all_inputs!A464)=1,1,IF(COUNTIF(dropdown!C$2:C$4,all_inputs!A464)=1,2,IF(COUNTIF(dropdown!D$2:D$3,all_inputs!A464)=1,3,"?")))</f>
        <v>1</v>
      </c>
      <c r="C464" t="s">
        <v>13</v>
      </c>
      <c r="D464" t="s">
        <v>472</v>
      </c>
      <c r="E464" t="s">
        <v>440</v>
      </c>
      <c r="F464" s="4" cm="1">
        <f t="array" ref="F464">IF(B464&lt;&gt;3,1,_xlfn.IFNA(INDEX(#REF!,MATCH(1, (all_inputs!A464=#REF!)*(all_inputs!D464=#REF!),0)),1))</f>
        <v>1</v>
      </c>
      <c r="G464" s="4">
        <f>ui!B$4</f>
        <v>2025</v>
      </c>
      <c r="H464" s="4">
        <f>ui!B$5</f>
        <v>2050</v>
      </c>
      <c r="I464" s="4" t="s">
        <v>93</v>
      </c>
      <c r="J464" s="4" t="str">
        <f>VLOOKUP(ui!B$2,dropdown!M:O,3,FALSE)</f>
        <v>LIC</v>
      </c>
      <c r="K464" s="4" cm="1">
        <f t="array" ref="K464">INDEX(begin!E:E,MATCH(1, (all_inputs!A464=begin!A:A)*(all_inputs!J464=begin!C:C),0))</f>
        <v>0</v>
      </c>
      <c r="L464" s="4" cm="1">
        <f t="array" ref="L464">INDEX(begin!F:F,MATCH(1, (all_inputs!A464=begin!A:A)*(all_inputs!J464=begin!C:C),0))</f>
        <v>0.05</v>
      </c>
      <c r="M464" s="4" cm="1">
        <f t="array" ref="M464">INDEX(begin!G:G,MATCH(1, (all_inputs!A464=begin!A:A)*(all_inputs!J464=begin!C:C),0))</f>
        <v>4.5000000000000005E-2</v>
      </c>
      <c r="N464" s="4">
        <f>VLOOKUP(A464,ui!A$37:C$52,3,FALSE)</f>
        <v>4.5000000000000005E-2</v>
      </c>
      <c r="O464" s="4" cm="1">
        <f t="array" ref="O464">INDEX(end!E:E,MATCH(1, (all_inputs!A464=end!A:A)*(all_inputs!J464=end!C:C),0))</f>
        <v>0</v>
      </c>
      <c r="P464" s="4" cm="1">
        <f t="array" ref="P464">INDEX(end!F:F,MATCH(1, (all_inputs!A464=end!A:A)*(all_inputs!J464=end!C:C),0))</f>
        <v>0.8</v>
      </c>
      <c r="Q464" s="4" cm="1">
        <f t="array" ref="Q464">INDEX(end!G:G,MATCH(1, (all_inputs!A464=end!A:A)*(all_inputs!J464=end!C:C),0))</f>
        <v>0.72000000000000008</v>
      </c>
      <c r="R464" s="4">
        <f>VLOOKUP(A464,ui!A$37:G$52,4,FALSE)</f>
        <v>4.0500000000000008E-2</v>
      </c>
      <c r="S464" s="4" cm="1">
        <f t="array" ref="S464">INDEX(begin!I:I,MATCH(1, (all_inputs!A464=begin!A:A)*(all_inputs!J464=begin!C:C),0))</f>
        <v>0</v>
      </c>
      <c r="T464" s="4" cm="1">
        <f t="array" ref="T464">INDEX(begin!J:J,MATCH(1, (all_inputs!A464=begin!A:A)*(all_inputs!J464=begin!C:C),0))</f>
        <v>1</v>
      </c>
      <c r="U464" s="4" cm="1">
        <f t="array" ref="U464">INDEX(begin!K:K,MATCH(1, (all_inputs!A464=begin!A:A)*(all_inputs!J464=begin!C:C),0))</f>
        <v>0</v>
      </c>
      <c r="V464" s="4" cm="1">
        <f t="array" ref="V464">INDEX(begin!L:L,MATCH(1, (all_inputs!A464=begin!A:A)*(all_inputs!J464=begin!C:C),0))</f>
        <v>0</v>
      </c>
      <c r="W464" s="4" cm="1">
        <f t="array" ref="W464">_xlfn.IFNA(INDEX(end!I:I,MATCH(1, (all_inputs!A464=end!A:A)*(all_inputs!J464=end!C:C),0)),"")</f>
        <v>0</v>
      </c>
      <c r="X464" s="4" cm="1">
        <f t="array" ref="X464">_xlfn.IFNA(INDEX(end!J:J,MATCH(1, (all_inputs!A464=end!A:A)*(all_inputs!J464=end!C:C),0)),"")</f>
        <v>1</v>
      </c>
      <c r="Y464" s="4" cm="1">
        <f t="array" ref="Y464">_xlfn.IFNA(INDEX(end!K:K,MATCH(1, (all_inputs!A464=end!A:A)*(all_inputs!J464=end!C:C),0)),"")</f>
        <v>0</v>
      </c>
      <c r="Z464" s="4" cm="1">
        <f t="array" ref="Z464">_xlfn.IFNA(INDEX(end!L:L,MATCH(1, (all_inputs!A464=end!A:A)*(all_inputs!J464=end!C:C),0)),"")</f>
        <v>0</v>
      </c>
      <c r="AA464" t="b">
        <f>VLOOKUP(A464,ui!A$37:B$52,2,FALSE)</f>
        <v>0</v>
      </c>
    </row>
    <row r="465" spans="1:27" x14ac:dyDescent="0.25">
      <c r="A465" t="s">
        <v>31</v>
      </c>
      <c r="B465" s="40">
        <f>IF(COUNTIF(dropdown!B$2:B$12,all_inputs!A465)=1,1,IF(COUNTIF(dropdown!C$2:C$4,all_inputs!A465)=1,2,IF(COUNTIF(dropdown!D$2:D$3,all_inputs!A465)=1,3,"?")))</f>
        <v>1</v>
      </c>
      <c r="C465" t="s">
        <v>14</v>
      </c>
      <c r="D465" t="s">
        <v>466</v>
      </c>
      <c r="E465" t="s">
        <v>440</v>
      </c>
      <c r="F465">
        <f>RR!C15</f>
        <v>1</v>
      </c>
      <c r="G465" s="4">
        <f>ui!B$4</f>
        <v>2025</v>
      </c>
      <c r="H465" s="4">
        <f>ui!B$5</f>
        <v>2050</v>
      </c>
      <c r="I465" s="4" t="s">
        <v>93</v>
      </c>
      <c r="J465" s="4" t="str">
        <f>VLOOKUP(ui!B$2,dropdown!M:O,3,FALSE)</f>
        <v>LIC</v>
      </c>
      <c r="K465" s="4" cm="1">
        <f t="array" ref="K465">INDEX(begin!E:E,MATCH(1, (all_inputs!A465=begin!A:A)*(all_inputs!J465=begin!C:C),0))</f>
        <v>0</v>
      </c>
      <c r="L465" s="4" cm="1">
        <f t="array" ref="L465">INDEX(begin!F:F,MATCH(1, (all_inputs!A465=begin!A:A)*(all_inputs!J465=begin!C:C),0))</f>
        <v>0.05</v>
      </c>
      <c r="M465" s="4" cm="1">
        <f t="array" ref="M465">INDEX(begin!G:G,MATCH(1, (all_inputs!A465=begin!A:A)*(all_inputs!J465=begin!C:C),0))</f>
        <v>4.5000000000000005E-2</v>
      </c>
      <c r="N465" s="4">
        <f>VLOOKUP(A465,ui!A$37:C$52,3,FALSE)</f>
        <v>4.5000000000000005E-2</v>
      </c>
      <c r="O465" s="4" cm="1">
        <f t="array" ref="O465">INDEX(end!E:E,MATCH(1, (all_inputs!A465=end!A:A)*(all_inputs!J465=end!C:C),0))</f>
        <v>0</v>
      </c>
      <c r="P465" s="4" cm="1">
        <f t="array" ref="P465">INDEX(end!F:F,MATCH(1, (all_inputs!A465=end!A:A)*(all_inputs!J465=end!C:C),0))</f>
        <v>0.8</v>
      </c>
      <c r="Q465" s="4" cm="1">
        <f t="array" ref="Q465">INDEX(end!G:G,MATCH(1, (all_inputs!A465=end!A:A)*(all_inputs!J465=end!C:C),0))</f>
        <v>0.72000000000000008</v>
      </c>
      <c r="R465" s="4">
        <f>VLOOKUP(A465,ui!A$37:G$52,4,FALSE)</f>
        <v>4.0500000000000008E-2</v>
      </c>
      <c r="S465" s="4" cm="1">
        <f t="array" ref="S465">INDEX(begin!I:I,MATCH(1, (all_inputs!A465=begin!A:A)*(all_inputs!J465=begin!C:C),0))</f>
        <v>0</v>
      </c>
      <c r="T465" s="4" cm="1">
        <f t="array" ref="T465">INDEX(begin!J:J,MATCH(1, (all_inputs!A465=begin!A:A)*(all_inputs!J465=begin!C:C),0))</f>
        <v>1</v>
      </c>
      <c r="U465" s="4" cm="1">
        <f t="array" ref="U465">INDEX(begin!K:K,MATCH(1, (all_inputs!A465=begin!A:A)*(all_inputs!J465=begin!C:C),0))</f>
        <v>0</v>
      </c>
      <c r="V465" s="4" cm="1">
        <f t="array" ref="V465">INDEX(begin!L:L,MATCH(1, (all_inputs!A465=begin!A:A)*(all_inputs!J465=begin!C:C),0))</f>
        <v>0</v>
      </c>
      <c r="W465" s="4" cm="1">
        <f t="array" ref="W465">_xlfn.IFNA(INDEX(end!I:I,MATCH(1, (all_inputs!A465=end!A:A)*(all_inputs!J465=end!C:C),0)),"")</f>
        <v>0</v>
      </c>
      <c r="X465" s="4" cm="1">
        <f t="array" ref="X465">_xlfn.IFNA(INDEX(end!J:J,MATCH(1, (all_inputs!A465=end!A:A)*(all_inputs!J465=end!C:C),0)),"")</f>
        <v>1</v>
      </c>
      <c r="Y465" s="4" cm="1">
        <f t="array" ref="Y465">_xlfn.IFNA(INDEX(end!K:K,MATCH(1, (all_inputs!A465=end!A:A)*(all_inputs!J465=end!C:C),0)),"")</f>
        <v>0</v>
      </c>
      <c r="Z465" s="4" cm="1">
        <f t="array" ref="Z465">_xlfn.IFNA(INDEX(end!L:L,MATCH(1, (all_inputs!A465=end!A:A)*(all_inputs!J465=end!C:C),0)),"")</f>
        <v>0</v>
      </c>
      <c r="AA465" t="b">
        <f>VLOOKUP(A465,ui!A$37:B$52,2,FALSE)</f>
        <v>0</v>
      </c>
    </row>
    <row r="466" spans="1:27" x14ac:dyDescent="0.25">
      <c r="A466" t="s">
        <v>31</v>
      </c>
      <c r="B466" s="40">
        <f>IF(COUNTIF(dropdown!B$2:B$12,all_inputs!A466)=1,1,IF(COUNTIF(dropdown!C$2:C$4,all_inputs!A466)=1,2,IF(COUNTIF(dropdown!D$2:D$3,all_inputs!A466)=1,3,"?")))</f>
        <v>1</v>
      </c>
      <c r="C466" t="s">
        <v>15</v>
      </c>
      <c r="D466" t="s">
        <v>466</v>
      </c>
      <c r="E466" t="s">
        <v>440</v>
      </c>
      <c r="F466" s="4" cm="1">
        <f t="array" ref="F466">IF(B466&lt;&gt;3,1,_xlfn.IFNA(INDEX(#REF!,MATCH(1, (all_inputs!A466=#REF!)*(all_inputs!D466=#REF!),0)),1))</f>
        <v>1</v>
      </c>
      <c r="G466" s="4">
        <f>ui!B$4</f>
        <v>2025</v>
      </c>
      <c r="H466" s="4">
        <f>ui!B$5</f>
        <v>2050</v>
      </c>
      <c r="I466" s="4" t="s">
        <v>93</v>
      </c>
      <c r="J466" s="4" t="str">
        <f>VLOOKUP(ui!B$2,dropdown!M:O,3,FALSE)</f>
        <v>LIC</v>
      </c>
      <c r="K466" s="4" cm="1">
        <f t="array" ref="K466">INDEX(begin!E:E,MATCH(1, (all_inputs!A466=begin!A:A)*(all_inputs!J466=begin!C:C),0))</f>
        <v>0</v>
      </c>
      <c r="L466" s="4" cm="1">
        <f t="array" ref="L466">INDEX(begin!F:F,MATCH(1, (all_inputs!A466=begin!A:A)*(all_inputs!J466=begin!C:C),0))</f>
        <v>0.05</v>
      </c>
      <c r="M466" s="4" cm="1">
        <f t="array" ref="M466">INDEX(begin!G:G,MATCH(1, (all_inputs!A466=begin!A:A)*(all_inputs!J466=begin!C:C),0))</f>
        <v>4.5000000000000005E-2</v>
      </c>
      <c r="N466" s="4">
        <f>VLOOKUP(A466,ui!A$37:C$52,3,FALSE)</f>
        <v>4.5000000000000005E-2</v>
      </c>
      <c r="O466" s="4" cm="1">
        <f t="array" ref="O466">INDEX(end!E:E,MATCH(1, (all_inputs!A466=end!A:A)*(all_inputs!J466=end!C:C),0))</f>
        <v>0</v>
      </c>
      <c r="P466" s="4" cm="1">
        <f t="array" ref="P466">INDEX(end!F:F,MATCH(1, (all_inputs!A466=end!A:A)*(all_inputs!J466=end!C:C),0))</f>
        <v>0.8</v>
      </c>
      <c r="Q466" s="4" cm="1">
        <f t="array" ref="Q466">INDEX(end!G:G,MATCH(1, (all_inputs!A466=end!A:A)*(all_inputs!J466=end!C:C),0))</f>
        <v>0.72000000000000008</v>
      </c>
      <c r="R466" s="4">
        <f>VLOOKUP(A466,ui!A$37:G$52,4,FALSE)</f>
        <v>4.0500000000000008E-2</v>
      </c>
      <c r="S466" s="4" cm="1">
        <f t="array" ref="S466">INDEX(begin!I:I,MATCH(1, (all_inputs!A466=begin!A:A)*(all_inputs!J466=begin!C:C),0))</f>
        <v>0</v>
      </c>
      <c r="T466" s="4" cm="1">
        <f t="array" ref="T466">INDEX(begin!J:J,MATCH(1, (all_inputs!A466=begin!A:A)*(all_inputs!J466=begin!C:C),0))</f>
        <v>1</v>
      </c>
      <c r="U466" s="4" cm="1">
        <f t="array" ref="U466">INDEX(begin!K:K,MATCH(1, (all_inputs!A466=begin!A:A)*(all_inputs!J466=begin!C:C),0))</f>
        <v>0</v>
      </c>
      <c r="V466" s="4" cm="1">
        <f t="array" ref="V466">INDEX(begin!L:L,MATCH(1, (all_inputs!A466=begin!A:A)*(all_inputs!J466=begin!C:C),0))</f>
        <v>0</v>
      </c>
      <c r="W466" s="4" cm="1">
        <f t="array" ref="W466">_xlfn.IFNA(INDEX(end!I:I,MATCH(1, (all_inputs!A466=end!A:A)*(all_inputs!J466=end!C:C),0)),"")</f>
        <v>0</v>
      </c>
      <c r="X466" s="4" cm="1">
        <f t="array" ref="X466">_xlfn.IFNA(INDEX(end!J:J,MATCH(1, (all_inputs!A466=end!A:A)*(all_inputs!J466=end!C:C),0)),"")</f>
        <v>1</v>
      </c>
      <c r="Y466" s="4" cm="1">
        <f t="array" ref="Y466">_xlfn.IFNA(INDEX(end!K:K,MATCH(1, (all_inputs!A466=end!A:A)*(all_inputs!J466=end!C:C),0)),"")</f>
        <v>0</v>
      </c>
      <c r="Z466" s="4" cm="1">
        <f t="array" ref="Z466">_xlfn.IFNA(INDEX(end!L:L,MATCH(1, (all_inputs!A466=end!A:A)*(all_inputs!J466=end!C:C),0)),"")</f>
        <v>0</v>
      </c>
      <c r="AA466" t="b">
        <f>VLOOKUP(A466,ui!A$37:B$52,2,FALSE)</f>
        <v>0</v>
      </c>
    </row>
    <row r="467" spans="1:27" x14ac:dyDescent="0.25">
      <c r="A467" t="s">
        <v>31</v>
      </c>
      <c r="B467" s="40">
        <f>IF(COUNTIF(dropdown!B$2:B$12,all_inputs!A467)=1,1,IF(COUNTIF(dropdown!C$2:C$4,all_inputs!A467)=1,2,IF(COUNTIF(dropdown!D$2:D$3,all_inputs!A467)=1,3,"?")))</f>
        <v>1</v>
      </c>
      <c r="C467" t="s">
        <v>16</v>
      </c>
      <c r="D467" t="s">
        <v>467</v>
      </c>
      <c r="E467" t="s">
        <v>440</v>
      </c>
      <c r="F467" s="4" cm="1">
        <f t="array" ref="F467">IF(B467&lt;&gt;3,1,_xlfn.IFNA(INDEX(#REF!,MATCH(1, (all_inputs!A467=#REF!)*(all_inputs!D467=#REF!),0)),1))</f>
        <v>1</v>
      </c>
      <c r="G467" s="4">
        <f>ui!B$4</f>
        <v>2025</v>
      </c>
      <c r="H467" s="4">
        <f>ui!B$5</f>
        <v>2050</v>
      </c>
      <c r="I467" s="4" t="s">
        <v>93</v>
      </c>
      <c r="J467" s="4" t="str">
        <f>VLOOKUP(ui!B$2,dropdown!M:O,3,FALSE)</f>
        <v>LIC</v>
      </c>
      <c r="K467" s="4" cm="1">
        <f t="array" ref="K467">INDEX(begin!E:E,MATCH(1, (all_inputs!A467=begin!A:A)*(all_inputs!J467=begin!C:C),0))</f>
        <v>0</v>
      </c>
      <c r="L467" s="4" cm="1">
        <f t="array" ref="L467">INDEX(begin!F:F,MATCH(1, (all_inputs!A467=begin!A:A)*(all_inputs!J467=begin!C:C),0))</f>
        <v>0.05</v>
      </c>
      <c r="M467" s="4" cm="1">
        <f t="array" ref="M467">INDEX(begin!G:G,MATCH(1, (all_inputs!A467=begin!A:A)*(all_inputs!J467=begin!C:C),0))</f>
        <v>4.5000000000000005E-2</v>
      </c>
      <c r="N467" s="4">
        <f>VLOOKUP(A467,ui!A$37:C$52,3,FALSE)</f>
        <v>4.5000000000000005E-2</v>
      </c>
      <c r="O467" s="4" cm="1">
        <f t="array" ref="O467">INDEX(end!E:E,MATCH(1, (all_inputs!A467=end!A:A)*(all_inputs!J467=end!C:C),0))</f>
        <v>0</v>
      </c>
      <c r="P467" s="4" cm="1">
        <f t="array" ref="P467">INDEX(end!F:F,MATCH(1, (all_inputs!A467=end!A:A)*(all_inputs!J467=end!C:C),0))</f>
        <v>0.8</v>
      </c>
      <c r="Q467" s="4" cm="1">
        <f t="array" ref="Q467">INDEX(end!G:G,MATCH(1, (all_inputs!A467=end!A:A)*(all_inputs!J467=end!C:C),0))</f>
        <v>0.72000000000000008</v>
      </c>
      <c r="R467" s="4">
        <f>VLOOKUP(A467,ui!A$37:G$52,4,FALSE)</f>
        <v>4.0500000000000008E-2</v>
      </c>
      <c r="S467" s="4" cm="1">
        <f t="array" ref="S467">INDEX(begin!I:I,MATCH(1, (all_inputs!A467=begin!A:A)*(all_inputs!J467=begin!C:C),0))</f>
        <v>0</v>
      </c>
      <c r="T467" s="4" cm="1">
        <f t="array" ref="T467">INDEX(begin!J:J,MATCH(1, (all_inputs!A467=begin!A:A)*(all_inputs!J467=begin!C:C),0))</f>
        <v>1</v>
      </c>
      <c r="U467" s="4" cm="1">
        <f t="array" ref="U467">INDEX(begin!K:K,MATCH(1, (all_inputs!A467=begin!A:A)*(all_inputs!J467=begin!C:C),0))</f>
        <v>0</v>
      </c>
      <c r="V467" s="4" cm="1">
        <f t="array" ref="V467">INDEX(begin!L:L,MATCH(1, (all_inputs!A467=begin!A:A)*(all_inputs!J467=begin!C:C),0))</f>
        <v>0</v>
      </c>
      <c r="W467" s="4" cm="1">
        <f t="array" ref="W467">_xlfn.IFNA(INDEX(end!I:I,MATCH(1, (all_inputs!A467=end!A:A)*(all_inputs!J467=end!C:C),0)),"")</f>
        <v>0</v>
      </c>
      <c r="X467" s="4" cm="1">
        <f t="array" ref="X467">_xlfn.IFNA(INDEX(end!J:J,MATCH(1, (all_inputs!A467=end!A:A)*(all_inputs!J467=end!C:C),0)),"")</f>
        <v>1</v>
      </c>
      <c r="Y467" s="4" cm="1">
        <f t="array" ref="Y467">_xlfn.IFNA(INDEX(end!K:K,MATCH(1, (all_inputs!A467=end!A:A)*(all_inputs!J467=end!C:C),0)),"")</f>
        <v>0</v>
      </c>
      <c r="Z467" s="4" cm="1">
        <f t="array" ref="Z467">_xlfn.IFNA(INDEX(end!L:L,MATCH(1, (all_inputs!A467=end!A:A)*(all_inputs!J467=end!C:C),0)),"")</f>
        <v>0</v>
      </c>
      <c r="AA467" t="b">
        <f>VLOOKUP(A467,ui!A$37:B$52,2,FALSE)</f>
        <v>0</v>
      </c>
    </row>
    <row r="468" spans="1:27" x14ac:dyDescent="0.25">
      <c r="A468" t="s">
        <v>31</v>
      </c>
      <c r="B468" s="40">
        <f>IF(COUNTIF(dropdown!B$2:B$12,all_inputs!A468)=1,1,IF(COUNTIF(dropdown!C$2:C$4,all_inputs!A468)=1,2,IF(COUNTIF(dropdown!D$2:D$3,all_inputs!A468)=1,3,"?")))</f>
        <v>1</v>
      </c>
      <c r="C468" t="s">
        <v>17</v>
      </c>
      <c r="D468" t="s">
        <v>468</v>
      </c>
      <c r="E468" t="s">
        <v>440</v>
      </c>
      <c r="F468" s="4" cm="1">
        <f t="array" ref="F468">IF(B468&lt;&gt;3,1,_xlfn.IFNA(INDEX(#REF!,MATCH(1, (all_inputs!A468=#REF!)*(all_inputs!D468=#REF!),0)),1))</f>
        <v>1</v>
      </c>
      <c r="G468" s="4">
        <f>ui!B$4</f>
        <v>2025</v>
      </c>
      <c r="H468" s="4">
        <f>ui!B$5</f>
        <v>2050</v>
      </c>
      <c r="I468" s="4" t="s">
        <v>93</v>
      </c>
      <c r="J468" s="4" t="str">
        <f>VLOOKUP(ui!B$2,dropdown!M:O,3,FALSE)</f>
        <v>LIC</v>
      </c>
      <c r="K468" s="4" cm="1">
        <f t="array" ref="K468">INDEX(begin!E:E,MATCH(1, (all_inputs!A468=begin!A:A)*(all_inputs!J468=begin!C:C),0))</f>
        <v>0</v>
      </c>
      <c r="L468" s="4" cm="1">
        <f t="array" ref="L468">INDEX(begin!F:F,MATCH(1, (all_inputs!A468=begin!A:A)*(all_inputs!J468=begin!C:C),0))</f>
        <v>0.05</v>
      </c>
      <c r="M468" s="4" cm="1">
        <f t="array" ref="M468">INDEX(begin!G:G,MATCH(1, (all_inputs!A468=begin!A:A)*(all_inputs!J468=begin!C:C),0))</f>
        <v>4.5000000000000005E-2</v>
      </c>
      <c r="N468" s="4">
        <f>VLOOKUP(A468,ui!A$37:C$52,3,FALSE)</f>
        <v>4.5000000000000005E-2</v>
      </c>
      <c r="O468" s="4" cm="1">
        <f t="array" ref="O468">INDEX(end!E:E,MATCH(1, (all_inputs!A468=end!A:A)*(all_inputs!J468=end!C:C),0))</f>
        <v>0</v>
      </c>
      <c r="P468" s="4" cm="1">
        <f t="array" ref="P468">INDEX(end!F:F,MATCH(1, (all_inputs!A468=end!A:A)*(all_inputs!J468=end!C:C),0))</f>
        <v>0.8</v>
      </c>
      <c r="Q468" s="4" cm="1">
        <f t="array" ref="Q468">INDEX(end!G:G,MATCH(1, (all_inputs!A468=end!A:A)*(all_inputs!J468=end!C:C),0))</f>
        <v>0.72000000000000008</v>
      </c>
      <c r="R468" s="4">
        <f>VLOOKUP(A468,ui!A$37:G$52,4,FALSE)</f>
        <v>4.0500000000000008E-2</v>
      </c>
      <c r="S468" s="4" cm="1">
        <f t="array" ref="S468">INDEX(begin!I:I,MATCH(1, (all_inputs!A468=begin!A:A)*(all_inputs!J468=begin!C:C),0))</f>
        <v>0</v>
      </c>
      <c r="T468" s="4" cm="1">
        <f t="array" ref="T468">INDEX(begin!J:J,MATCH(1, (all_inputs!A468=begin!A:A)*(all_inputs!J468=begin!C:C),0))</f>
        <v>1</v>
      </c>
      <c r="U468" s="4" cm="1">
        <f t="array" ref="U468">INDEX(begin!K:K,MATCH(1, (all_inputs!A468=begin!A:A)*(all_inputs!J468=begin!C:C),0))</f>
        <v>0</v>
      </c>
      <c r="V468" s="4" cm="1">
        <f t="array" ref="V468">INDEX(begin!L:L,MATCH(1, (all_inputs!A468=begin!A:A)*(all_inputs!J468=begin!C:C),0))</f>
        <v>0</v>
      </c>
      <c r="W468" s="4" cm="1">
        <f t="array" ref="W468">_xlfn.IFNA(INDEX(end!I:I,MATCH(1, (all_inputs!A468=end!A:A)*(all_inputs!J468=end!C:C),0)),"")</f>
        <v>0</v>
      </c>
      <c r="X468" s="4" cm="1">
        <f t="array" ref="X468">_xlfn.IFNA(INDEX(end!J:J,MATCH(1, (all_inputs!A468=end!A:A)*(all_inputs!J468=end!C:C),0)),"")</f>
        <v>1</v>
      </c>
      <c r="Y468" s="4" cm="1">
        <f t="array" ref="Y468">_xlfn.IFNA(INDEX(end!K:K,MATCH(1, (all_inputs!A468=end!A:A)*(all_inputs!J468=end!C:C),0)),"")</f>
        <v>0</v>
      </c>
      <c r="Z468" s="4" cm="1">
        <f t="array" ref="Z468">_xlfn.IFNA(INDEX(end!L:L,MATCH(1, (all_inputs!A468=end!A:A)*(all_inputs!J468=end!C:C),0)),"")</f>
        <v>0</v>
      </c>
      <c r="AA468" t="b">
        <f>VLOOKUP(A468,ui!A$37:B$52,2,FALSE)</f>
        <v>0</v>
      </c>
    </row>
    <row r="469" spans="1:27" x14ac:dyDescent="0.25">
      <c r="A469" s="2" t="s">
        <v>31</v>
      </c>
      <c r="B469" s="41">
        <f>IF(COUNTIF(dropdown!B$2:B$12,all_inputs!A469)=1,1,IF(COUNTIF(dropdown!C$2:C$4,all_inputs!A469)=1,2,IF(COUNTIF(dropdown!D$2:D$3,all_inputs!A469)=1,3,"?")))</f>
        <v>1</v>
      </c>
      <c r="C469" s="2" t="s">
        <v>18</v>
      </c>
      <c r="D469" s="2" t="s">
        <v>469</v>
      </c>
      <c r="E469" s="2" t="s">
        <v>440</v>
      </c>
      <c r="F469" s="2">
        <f>RR!F15</f>
        <v>0.9</v>
      </c>
      <c r="G469" s="5">
        <f>ui!B$4</f>
        <v>2025</v>
      </c>
      <c r="H469" s="5">
        <f>ui!B$5</f>
        <v>2050</v>
      </c>
      <c r="I469" s="5" t="s">
        <v>93</v>
      </c>
      <c r="J469" s="5" t="str">
        <f>VLOOKUP(ui!B$2,dropdown!M:O,3,FALSE)</f>
        <v>LIC</v>
      </c>
      <c r="K469" s="5" cm="1">
        <f t="array" ref="K469">INDEX(begin!E:E,MATCH(1, (all_inputs!A469=begin!A:A)*(all_inputs!J469=begin!C:C),0))</f>
        <v>0</v>
      </c>
      <c r="L469" s="5" cm="1">
        <f t="array" ref="L469">INDEX(begin!F:F,MATCH(1, (all_inputs!A469=begin!A:A)*(all_inputs!J469=begin!C:C),0))</f>
        <v>0.05</v>
      </c>
      <c r="M469" s="5" cm="1">
        <f t="array" ref="M469">INDEX(begin!G:G,MATCH(1, (all_inputs!A469=begin!A:A)*(all_inputs!J469=begin!C:C),0))</f>
        <v>4.5000000000000005E-2</v>
      </c>
      <c r="N469" s="5">
        <f>VLOOKUP(A469,ui!A$37:C$52,3,FALSE)</f>
        <v>4.5000000000000005E-2</v>
      </c>
      <c r="O469" s="5" cm="1">
        <f t="array" ref="O469">INDEX(end!E:E,MATCH(1, (all_inputs!A469=end!A:A)*(all_inputs!J469=end!C:C),0))</f>
        <v>0</v>
      </c>
      <c r="P469" s="5" cm="1">
        <f t="array" ref="P469">INDEX(end!F:F,MATCH(1, (all_inputs!A469=end!A:A)*(all_inputs!J469=end!C:C),0))</f>
        <v>0.8</v>
      </c>
      <c r="Q469" s="5" cm="1">
        <f t="array" ref="Q469">INDEX(end!G:G,MATCH(1, (all_inputs!A469=end!A:A)*(all_inputs!J469=end!C:C),0))</f>
        <v>0.72000000000000008</v>
      </c>
      <c r="R469" s="5">
        <f>VLOOKUP(A469,ui!A$37:G$52,4,FALSE)</f>
        <v>4.0500000000000008E-2</v>
      </c>
      <c r="S469" s="5" cm="1">
        <f t="array" ref="S469">INDEX(begin!I:I,MATCH(1, (all_inputs!A469=begin!A:A)*(all_inputs!J469=begin!C:C),0))</f>
        <v>0</v>
      </c>
      <c r="T469" s="5" cm="1">
        <f t="array" ref="T469">INDEX(begin!J:J,MATCH(1, (all_inputs!A469=begin!A:A)*(all_inputs!J469=begin!C:C),0))</f>
        <v>1</v>
      </c>
      <c r="U469" s="5" cm="1">
        <f t="array" ref="U469">INDEX(begin!K:K,MATCH(1, (all_inputs!A469=begin!A:A)*(all_inputs!J469=begin!C:C),0))</f>
        <v>0</v>
      </c>
      <c r="V469" s="5" cm="1">
        <f t="array" ref="V469">INDEX(begin!L:L,MATCH(1, (all_inputs!A469=begin!A:A)*(all_inputs!J469=begin!C:C),0))</f>
        <v>0</v>
      </c>
      <c r="W469" s="5" cm="1">
        <f t="array" ref="W469">_xlfn.IFNA(INDEX(end!I:I,MATCH(1, (all_inputs!A469=end!A:A)*(all_inputs!J469=end!C:C),0)),"")</f>
        <v>0</v>
      </c>
      <c r="X469" s="5" cm="1">
        <f t="array" ref="X469">_xlfn.IFNA(INDEX(end!J:J,MATCH(1, (all_inputs!A469=end!A:A)*(all_inputs!J469=end!C:C),0)),"")</f>
        <v>1</v>
      </c>
      <c r="Y469" s="5" cm="1">
        <f t="array" ref="Y469">_xlfn.IFNA(INDEX(end!K:K,MATCH(1, (all_inputs!A469=end!A:A)*(all_inputs!J469=end!C:C),0)),"")</f>
        <v>0</v>
      </c>
      <c r="Z469" s="5" cm="1">
        <f t="array" ref="Z469">_xlfn.IFNA(INDEX(end!L:L,MATCH(1, (all_inputs!A469=end!A:A)*(all_inputs!J469=end!C:C),0)),"")</f>
        <v>0</v>
      </c>
      <c r="AA469" s="2" t="b">
        <f>VLOOKUP(A469,ui!A$37:B$52,2,FALSE)</f>
        <v>0</v>
      </c>
    </row>
    <row r="470" spans="1:27" x14ac:dyDescent="0.25">
      <c r="A470" t="s">
        <v>32</v>
      </c>
      <c r="B470" s="40">
        <f>IF(COUNTIF(dropdown!B$2:B$12,all_inputs!A470)=1,1,IF(COUNTIF(dropdown!C$2:C$4,all_inputs!A470)=1,2,IF(COUNTIF(dropdown!D$2:D$3,all_inputs!A470)=1,3,"?")))</f>
        <v>2</v>
      </c>
      <c r="C470" t="s">
        <v>13</v>
      </c>
      <c r="D470" t="s">
        <v>472</v>
      </c>
      <c r="E470" t="s">
        <v>440</v>
      </c>
      <c r="F470" s="4" cm="1">
        <f t="array" ref="F470">IF(B470&lt;&gt;3,1,_xlfn.IFNA(INDEX(#REF!,MATCH(1, (all_inputs!A470=#REF!)*(all_inputs!D470=#REF!),0)),1))</f>
        <v>1</v>
      </c>
      <c r="G470" s="4">
        <f>ui!B$4</f>
        <v>2025</v>
      </c>
      <c r="H470" s="4">
        <f>ui!B$5</f>
        <v>2050</v>
      </c>
      <c r="I470" s="4" t="s">
        <v>93</v>
      </c>
      <c r="J470" s="4" t="str">
        <f>VLOOKUP(ui!B$2,dropdown!M:O,3,FALSE)</f>
        <v>LIC</v>
      </c>
      <c r="K470" s="4" cm="1">
        <f t="array" ref="K470">INDEX(begin!E:E,MATCH(1, (all_inputs!A470=begin!A:A)*(all_inputs!J470=begin!C:C),0))</f>
        <v>0</v>
      </c>
      <c r="L470" s="4" cm="1">
        <f t="array" ref="L470">INDEX(begin!F:F,MATCH(1, (all_inputs!A470=begin!A:A)*(all_inputs!J470=begin!C:C),0))</f>
        <v>0.05</v>
      </c>
      <c r="M470" s="4" cm="1">
        <f t="array" ref="M470">INDEX(begin!G:G,MATCH(1, (all_inputs!A470=begin!A:A)*(all_inputs!J470=begin!C:C),0))</f>
        <v>4.5000000000000005E-2</v>
      </c>
      <c r="N470" s="4">
        <f>VLOOKUP(A470,ui!A$37:C$52,3,FALSE)</f>
        <v>4.5000000000000005E-2</v>
      </c>
      <c r="O470" s="4" cm="1">
        <f t="array" ref="O470">INDEX(end!E:E,MATCH(1, (all_inputs!A470=end!A:A)*(all_inputs!J470=end!C:C),0))</f>
        <v>0</v>
      </c>
      <c r="P470" s="4" cm="1">
        <f t="array" ref="P470">INDEX(end!F:F,MATCH(1, (all_inputs!A470=end!A:A)*(all_inputs!J470=end!C:C),0))</f>
        <v>0.8</v>
      </c>
      <c r="Q470" s="4" cm="1">
        <f t="array" ref="Q470">INDEX(end!G:G,MATCH(1, (all_inputs!A470=end!A:A)*(all_inputs!J470=end!C:C),0))</f>
        <v>0.72000000000000008</v>
      </c>
      <c r="R470" s="4">
        <f>VLOOKUP(A470,ui!A$37:G$52,4,FALSE)</f>
        <v>4.0500000000000008E-2</v>
      </c>
      <c r="S470" s="4" cm="1">
        <f t="array" ref="S470">INDEX(begin!I:I,MATCH(1, (all_inputs!A470=begin!A:A)*(all_inputs!J470=begin!C:C),0))</f>
        <v>0</v>
      </c>
      <c r="T470" s="4" cm="1">
        <f t="array" ref="T470">INDEX(begin!J:J,MATCH(1, (all_inputs!A470=begin!A:A)*(all_inputs!J470=begin!C:C),0))</f>
        <v>0.05</v>
      </c>
      <c r="U470" s="4" cm="1">
        <f t="array" ref="U470">INDEX(begin!K:K,MATCH(1, (all_inputs!A470=begin!A:A)*(all_inputs!J470=begin!C:C),0))</f>
        <v>0.15</v>
      </c>
      <c r="V470" s="4" cm="1">
        <f t="array" ref="V470">INDEX(begin!L:L,MATCH(1, (all_inputs!A470=begin!A:A)*(all_inputs!J470=begin!C:C),0))</f>
        <v>0.8</v>
      </c>
      <c r="W470" s="4" cm="1">
        <f t="array" ref="W470">_xlfn.IFNA(INDEX(end!I:I,MATCH(1, (all_inputs!A470=end!A:A)*(all_inputs!J470=end!C:C),0)),"")</f>
        <v>0</v>
      </c>
      <c r="X470" s="4" cm="1">
        <f t="array" ref="X470">_xlfn.IFNA(INDEX(end!J:J,MATCH(1, (all_inputs!A470=end!A:A)*(all_inputs!J470=end!C:C),0)),"")</f>
        <v>0.05</v>
      </c>
      <c r="Y470" s="4" cm="1">
        <f t="array" ref="Y470">_xlfn.IFNA(INDEX(end!K:K,MATCH(1, (all_inputs!A470=end!A:A)*(all_inputs!J470=end!C:C),0)),"")</f>
        <v>0.15</v>
      </c>
      <c r="Z470" s="4" cm="1">
        <f t="array" ref="Z470">_xlfn.IFNA(INDEX(end!L:L,MATCH(1, (all_inputs!A470=end!A:A)*(all_inputs!J470=end!C:C),0)),"")</f>
        <v>0.8</v>
      </c>
      <c r="AA470" t="b">
        <f>VLOOKUP(A470,ui!A$37:B$52,2,FALSE)</f>
        <v>0</v>
      </c>
    </row>
    <row r="471" spans="1:27" x14ac:dyDescent="0.25">
      <c r="A471" t="s">
        <v>32</v>
      </c>
      <c r="B471" s="40">
        <f>IF(COUNTIF(dropdown!B$2:B$12,all_inputs!A471)=1,1,IF(COUNTIF(dropdown!C$2:C$4,all_inputs!A471)=1,2,IF(COUNTIF(dropdown!D$2:D$3,all_inputs!A471)=1,3,"?")))</f>
        <v>2</v>
      </c>
      <c r="C471" t="s">
        <v>14</v>
      </c>
      <c r="D471" t="s">
        <v>466</v>
      </c>
      <c r="E471" t="s">
        <v>440</v>
      </c>
      <c r="F471">
        <f>RR!C16</f>
        <v>1</v>
      </c>
      <c r="G471" s="4">
        <f>ui!B$4</f>
        <v>2025</v>
      </c>
      <c r="H471" s="4">
        <f>ui!B$5</f>
        <v>2050</v>
      </c>
      <c r="I471" s="4" t="s">
        <v>93</v>
      </c>
      <c r="J471" s="4" t="str">
        <f>VLOOKUP(ui!B$2,dropdown!M:O,3,FALSE)</f>
        <v>LIC</v>
      </c>
      <c r="K471" s="4" cm="1">
        <f t="array" ref="K471">INDEX(begin!E:E,MATCH(1, (all_inputs!A471=begin!A:A)*(all_inputs!J471=begin!C:C),0))</f>
        <v>0</v>
      </c>
      <c r="L471" s="4" cm="1">
        <f t="array" ref="L471">INDEX(begin!F:F,MATCH(1, (all_inputs!A471=begin!A:A)*(all_inputs!J471=begin!C:C),0))</f>
        <v>0.05</v>
      </c>
      <c r="M471" s="4" cm="1">
        <f t="array" ref="M471">INDEX(begin!G:G,MATCH(1, (all_inputs!A471=begin!A:A)*(all_inputs!J471=begin!C:C),0))</f>
        <v>4.5000000000000005E-2</v>
      </c>
      <c r="N471" s="4">
        <f>VLOOKUP(A471,ui!A$37:C$52,3,FALSE)</f>
        <v>4.5000000000000005E-2</v>
      </c>
      <c r="O471" s="4" cm="1">
        <f t="array" ref="O471">INDEX(end!E:E,MATCH(1, (all_inputs!A471=end!A:A)*(all_inputs!J471=end!C:C),0))</f>
        <v>0</v>
      </c>
      <c r="P471" s="4" cm="1">
        <f t="array" ref="P471">INDEX(end!F:F,MATCH(1, (all_inputs!A471=end!A:A)*(all_inputs!J471=end!C:C),0))</f>
        <v>0.8</v>
      </c>
      <c r="Q471" s="4" cm="1">
        <f t="array" ref="Q471">INDEX(end!G:G,MATCH(1, (all_inputs!A471=end!A:A)*(all_inputs!J471=end!C:C),0))</f>
        <v>0.72000000000000008</v>
      </c>
      <c r="R471" s="4">
        <f>VLOOKUP(A471,ui!A$37:G$52,4,FALSE)</f>
        <v>4.0500000000000008E-2</v>
      </c>
      <c r="S471" s="4" cm="1">
        <f t="array" ref="S471">INDEX(begin!I:I,MATCH(1, (all_inputs!A471=begin!A:A)*(all_inputs!J471=begin!C:C),0))</f>
        <v>0</v>
      </c>
      <c r="T471" s="4" cm="1">
        <f t="array" ref="T471">INDEX(begin!J:J,MATCH(1, (all_inputs!A471=begin!A:A)*(all_inputs!J471=begin!C:C),0))</f>
        <v>0.05</v>
      </c>
      <c r="U471" s="4" cm="1">
        <f t="array" ref="U471">INDEX(begin!K:K,MATCH(1, (all_inputs!A471=begin!A:A)*(all_inputs!J471=begin!C:C),0))</f>
        <v>0.15</v>
      </c>
      <c r="V471" s="4" cm="1">
        <f t="array" ref="V471">INDEX(begin!L:L,MATCH(1, (all_inputs!A471=begin!A:A)*(all_inputs!J471=begin!C:C),0))</f>
        <v>0.8</v>
      </c>
      <c r="W471" s="4" cm="1">
        <f t="array" ref="W471">_xlfn.IFNA(INDEX(end!I:I,MATCH(1, (all_inputs!A471=end!A:A)*(all_inputs!J471=end!C:C),0)),"")</f>
        <v>0</v>
      </c>
      <c r="X471" s="4" cm="1">
        <f t="array" ref="X471">_xlfn.IFNA(INDEX(end!J:J,MATCH(1, (all_inputs!A471=end!A:A)*(all_inputs!J471=end!C:C),0)),"")</f>
        <v>0.05</v>
      </c>
      <c r="Y471" s="4" cm="1">
        <f t="array" ref="Y471">_xlfn.IFNA(INDEX(end!K:K,MATCH(1, (all_inputs!A471=end!A:A)*(all_inputs!J471=end!C:C),0)),"")</f>
        <v>0.15</v>
      </c>
      <c r="Z471" s="4" cm="1">
        <f t="array" ref="Z471">_xlfn.IFNA(INDEX(end!L:L,MATCH(1, (all_inputs!A471=end!A:A)*(all_inputs!J471=end!C:C),0)),"")</f>
        <v>0.8</v>
      </c>
      <c r="AA471" t="b">
        <f>VLOOKUP(A471,ui!A$37:B$52,2,FALSE)</f>
        <v>0</v>
      </c>
    </row>
    <row r="472" spans="1:27" x14ac:dyDescent="0.25">
      <c r="A472" t="s">
        <v>32</v>
      </c>
      <c r="B472" s="40">
        <f>IF(COUNTIF(dropdown!B$2:B$12,all_inputs!A472)=1,1,IF(COUNTIF(dropdown!C$2:C$4,all_inputs!A472)=1,2,IF(COUNTIF(dropdown!D$2:D$3,all_inputs!A472)=1,3,"?")))</f>
        <v>2</v>
      </c>
      <c r="C472" t="s">
        <v>15</v>
      </c>
      <c r="D472" t="s">
        <v>466</v>
      </c>
      <c r="E472" t="s">
        <v>440</v>
      </c>
      <c r="F472" s="4" cm="1">
        <f t="array" ref="F472">IF(B472&lt;&gt;3,1,_xlfn.IFNA(INDEX(#REF!,MATCH(1, (all_inputs!A472=#REF!)*(all_inputs!D472=#REF!),0)),1))</f>
        <v>1</v>
      </c>
      <c r="G472" s="4">
        <f>ui!B$4</f>
        <v>2025</v>
      </c>
      <c r="H472" s="4">
        <f>ui!B$5</f>
        <v>2050</v>
      </c>
      <c r="I472" s="4" t="s">
        <v>93</v>
      </c>
      <c r="J472" s="4" t="str">
        <f>VLOOKUP(ui!B$2,dropdown!M:O,3,FALSE)</f>
        <v>LIC</v>
      </c>
      <c r="K472" s="4" cm="1">
        <f t="array" ref="K472">INDEX(begin!E:E,MATCH(1, (all_inputs!A472=begin!A:A)*(all_inputs!J472=begin!C:C),0))</f>
        <v>0</v>
      </c>
      <c r="L472" s="4" cm="1">
        <f t="array" ref="L472">INDEX(begin!F:F,MATCH(1, (all_inputs!A472=begin!A:A)*(all_inputs!J472=begin!C:C),0))</f>
        <v>0.05</v>
      </c>
      <c r="M472" s="4" cm="1">
        <f t="array" ref="M472">INDEX(begin!G:G,MATCH(1, (all_inputs!A472=begin!A:A)*(all_inputs!J472=begin!C:C),0))</f>
        <v>4.5000000000000005E-2</v>
      </c>
      <c r="N472" s="4">
        <f>VLOOKUP(A472,ui!A$37:C$52,3,FALSE)</f>
        <v>4.5000000000000005E-2</v>
      </c>
      <c r="O472" s="4" cm="1">
        <f t="array" ref="O472">INDEX(end!E:E,MATCH(1, (all_inputs!A472=end!A:A)*(all_inputs!J472=end!C:C),0))</f>
        <v>0</v>
      </c>
      <c r="P472" s="4" cm="1">
        <f t="array" ref="P472">INDEX(end!F:F,MATCH(1, (all_inputs!A472=end!A:A)*(all_inputs!J472=end!C:C),0))</f>
        <v>0.8</v>
      </c>
      <c r="Q472" s="4" cm="1">
        <f t="array" ref="Q472">INDEX(end!G:G,MATCH(1, (all_inputs!A472=end!A:A)*(all_inputs!J472=end!C:C),0))</f>
        <v>0.72000000000000008</v>
      </c>
      <c r="R472" s="4">
        <f>VLOOKUP(A472,ui!A$37:G$52,4,FALSE)</f>
        <v>4.0500000000000008E-2</v>
      </c>
      <c r="S472" s="4" cm="1">
        <f t="array" ref="S472">INDEX(begin!I:I,MATCH(1, (all_inputs!A472=begin!A:A)*(all_inputs!J472=begin!C:C),0))</f>
        <v>0</v>
      </c>
      <c r="T472" s="4" cm="1">
        <f t="array" ref="T472">INDEX(begin!J:J,MATCH(1, (all_inputs!A472=begin!A:A)*(all_inputs!J472=begin!C:C),0))</f>
        <v>0.05</v>
      </c>
      <c r="U472" s="4" cm="1">
        <f t="array" ref="U472">INDEX(begin!K:K,MATCH(1, (all_inputs!A472=begin!A:A)*(all_inputs!J472=begin!C:C),0))</f>
        <v>0.15</v>
      </c>
      <c r="V472" s="4" cm="1">
        <f t="array" ref="V472">INDEX(begin!L:L,MATCH(1, (all_inputs!A472=begin!A:A)*(all_inputs!J472=begin!C:C),0))</f>
        <v>0.8</v>
      </c>
      <c r="W472" s="4" cm="1">
        <f t="array" ref="W472">_xlfn.IFNA(INDEX(end!I:I,MATCH(1, (all_inputs!A472=end!A:A)*(all_inputs!J472=end!C:C),0)),"")</f>
        <v>0</v>
      </c>
      <c r="X472" s="4" cm="1">
        <f t="array" ref="X472">_xlfn.IFNA(INDEX(end!J:J,MATCH(1, (all_inputs!A472=end!A:A)*(all_inputs!J472=end!C:C),0)),"")</f>
        <v>0.05</v>
      </c>
      <c r="Y472" s="4" cm="1">
        <f t="array" ref="Y472">_xlfn.IFNA(INDEX(end!K:K,MATCH(1, (all_inputs!A472=end!A:A)*(all_inputs!J472=end!C:C),0)),"")</f>
        <v>0.15</v>
      </c>
      <c r="Z472" s="4" cm="1">
        <f t="array" ref="Z472">_xlfn.IFNA(INDEX(end!L:L,MATCH(1, (all_inputs!A472=end!A:A)*(all_inputs!J472=end!C:C),0)),"")</f>
        <v>0.8</v>
      </c>
      <c r="AA472" t="b">
        <f>VLOOKUP(A472,ui!A$37:B$52,2,FALSE)</f>
        <v>0</v>
      </c>
    </row>
    <row r="473" spans="1:27" x14ac:dyDescent="0.25">
      <c r="A473" t="s">
        <v>32</v>
      </c>
      <c r="B473" s="40">
        <f>IF(COUNTIF(dropdown!B$2:B$12,all_inputs!A473)=1,1,IF(COUNTIF(dropdown!C$2:C$4,all_inputs!A473)=1,2,IF(COUNTIF(dropdown!D$2:D$3,all_inputs!A473)=1,3,"?")))</f>
        <v>2</v>
      </c>
      <c r="C473" t="s">
        <v>16</v>
      </c>
      <c r="D473" t="s">
        <v>467</v>
      </c>
      <c r="E473" t="s">
        <v>440</v>
      </c>
      <c r="F473">
        <f>RR!D16</f>
        <v>0.5</v>
      </c>
      <c r="G473" s="4">
        <f>ui!B$4</f>
        <v>2025</v>
      </c>
      <c r="H473" s="4">
        <f>ui!B$5</f>
        <v>2050</v>
      </c>
      <c r="I473" s="4" t="s">
        <v>93</v>
      </c>
      <c r="J473" s="4" t="str">
        <f>VLOOKUP(ui!B$2,dropdown!M:O,3,FALSE)</f>
        <v>LIC</v>
      </c>
      <c r="K473" s="4" cm="1">
        <f t="array" ref="K473">INDEX(begin!E:E,MATCH(1, (all_inputs!A473=begin!A:A)*(all_inputs!J473=begin!C:C),0))</f>
        <v>0</v>
      </c>
      <c r="L473" s="4" cm="1">
        <f t="array" ref="L473">INDEX(begin!F:F,MATCH(1, (all_inputs!A473=begin!A:A)*(all_inputs!J473=begin!C:C),0))</f>
        <v>0.05</v>
      </c>
      <c r="M473" s="4" cm="1">
        <f t="array" ref="M473">INDEX(begin!G:G,MATCH(1, (all_inputs!A473=begin!A:A)*(all_inputs!J473=begin!C:C),0))</f>
        <v>4.5000000000000005E-2</v>
      </c>
      <c r="N473" s="4">
        <f>VLOOKUP(A473,ui!A$37:C$52,3,FALSE)</f>
        <v>4.5000000000000005E-2</v>
      </c>
      <c r="O473" s="4" cm="1">
        <f t="array" ref="O473">INDEX(end!E:E,MATCH(1, (all_inputs!A473=end!A:A)*(all_inputs!J473=end!C:C),0))</f>
        <v>0</v>
      </c>
      <c r="P473" s="4" cm="1">
        <f t="array" ref="P473">INDEX(end!F:F,MATCH(1, (all_inputs!A473=end!A:A)*(all_inputs!J473=end!C:C),0))</f>
        <v>0.8</v>
      </c>
      <c r="Q473" s="4" cm="1">
        <f t="array" ref="Q473">INDEX(end!G:G,MATCH(1, (all_inputs!A473=end!A:A)*(all_inputs!J473=end!C:C),0))</f>
        <v>0.72000000000000008</v>
      </c>
      <c r="R473" s="4">
        <f>VLOOKUP(A473,ui!A$37:G$52,4,FALSE)</f>
        <v>4.0500000000000008E-2</v>
      </c>
      <c r="S473" s="4" cm="1">
        <f t="array" ref="S473">INDEX(begin!I:I,MATCH(1, (all_inputs!A473=begin!A:A)*(all_inputs!J473=begin!C:C),0))</f>
        <v>0</v>
      </c>
      <c r="T473" s="4" cm="1">
        <f t="array" ref="T473">INDEX(begin!J:J,MATCH(1, (all_inputs!A473=begin!A:A)*(all_inputs!J473=begin!C:C),0))</f>
        <v>0.05</v>
      </c>
      <c r="U473" s="4" cm="1">
        <f t="array" ref="U473">INDEX(begin!K:K,MATCH(1, (all_inputs!A473=begin!A:A)*(all_inputs!J473=begin!C:C),0))</f>
        <v>0.15</v>
      </c>
      <c r="V473" s="4" cm="1">
        <f t="array" ref="V473">INDEX(begin!L:L,MATCH(1, (all_inputs!A473=begin!A:A)*(all_inputs!J473=begin!C:C),0))</f>
        <v>0.8</v>
      </c>
      <c r="W473" s="4" cm="1">
        <f t="array" ref="W473">_xlfn.IFNA(INDEX(end!I:I,MATCH(1, (all_inputs!A473=end!A:A)*(all_inputs!J473=end!C:C),0)),"")</f>
        <v>0</v>
      </c>
      <c r="X473" s="4" cm="1">
        <f t="array" ref="X473">_xlfn.IFNA(INDEX(end!J:J,MATCH(1, (all_inputs!A473=end!A:A)*(all_inputs!J473=end!C:C),0)),"")</f>
        <v>0.05</v>
      </c>
      <c r="Y473" s="4" cm="1">
        <f t="array" ref="Y473">_xlfn.IFNA(INDEX(end!K:K,MATCH(1, (all_inputs!A473=end!A:A)*(all_inputs!J473=end!C:C),0)),"")</f>
        <v>0.15</v>
      </c>
      <c r="Z473" s="4" cm="1">
        <f t="array" ref="Z473">_xlfn.IFNA(INDEX(end!L:L,MATCH(1, (all_inputs!A473=end!A:A)*(all_inputs!J473=end!C:C),0)),"")</f>
        <v>0.8</v>
      </c>
      <c r="AA473" t="b">
        <f>VLOOKUP(A473,ui!A$37:B$52,2,FALSE)</f>
        <v>0</v>
      </c>
    </row>
    <row r="474" spans="1:27" x14ac:dyDescent="0.25">
      <c r="A474" t="s">
        <v>32</v>
      </c>
      <c r="B474" s="40">
        <f>IF(COUNTIF(dropdown!B$2:B$12,all_inputs!A474)=1,1,IF(COUNTIF(dropdown!C$2:C$4,all_inputs!A474)=1,2,IF(COUNTIF(dropdown!D$2:D$3,all_inputs!A474)=1,3,"?")))</f>
        <v>2</v>
      </c>
      <c r="C474" t="s">
        <v>17</v>
      </c>
      <c r="D474" t="s">
        <v>468</v>
      </c>
      <c r="E474" t="s">
        <v>440</v>
      </c>
      <c r="F474">
        <f>RR!E16</f>
        <v>0.9</v>
      </c>
      <c r="G474" s="4">
        <f>ui!B$4</f>
        <v>2025</v>
      </c>
      <c r="H474" s="4">
        <f>ui!B$5</f>
        <v>2050</v>
      </c>
      <c r="I474" s="4" t="s">
        <v>93</v>
      </c>
      <c r="J474" s="4" t="str">
        <f>VLOOKUP(ui!B$2,dropdown!M:O,3,FALSE)</f>
        <v>LIC</v>
      </c>
      <c r="K474" s="4" cm="1">
        <f t="array" ref="K474">INDEX(begin!E:E,MATCH(1, (all_inputs!A474=begin!A:A)*(all_inputs!J474=begin!C:C),0))</f>
        <v>0</v>
      </c>
      <c r="L474" s="4" cm="1">
        <f t="array" ref="L474">INDEX(begin!F:F,MATCH(1, (all_inputs!A474=begin!A:A)*(all_inputs!J474=begin!C:C),0))</f>
        <v>0.05</v>
      </c>
      <c r="M474" s="4" cm="1">
        <f t="array" ref="M474">INDEX(begin!G:G,MATCH(1, (all_inputs!A474=begin!A:A)*(all_inputs!J474=begin!C:C),0))</f>
        <v>4.5000000000000005E-2</v>
      </c>
      <c r="N474" s="4">
        <f>VLOOKUP(A474,ui!A$37:C$52,3,FALSE)</f>
        <v>4.5000000000000005E-2</v>
      </c>
      <c r="O474" s="4" cm="1">
        <f t="array" ref="O474">INDEX(end!E:E,MATCH(1, (all_inputs!A474=end!A:A)*(all_inputs!J474=end!C:C),0))</f>
        <v>0</v>
      </c>
      <c r="P474" s="4" cm="1">
        <f t="array" ref="P474">INDEX(end!F:F,MATCH(1, (all_inputs!A474=end!A:A)*(all_inputs!J474=end!C:C),0))</f>
        <v>0.8</v>
      </c>
      <c r="Q474" s="4" cm="1">
        <f t="array" ref="Q474">INDEX(end!G:G,MATCH(1, (all_inputs!A474=end!A:A)*(all_inputs!J474=end!C:C),0))</f>
        <v>0.72000000000000008</v>
      </c>
      <c r="R474" s="4">
        <f>VLOOKUP(A474,ui!A$37:G$52,4,FALSE)</f>
        <v>4.0500000000000008E-2</v>
      </c>
      <c r="S474" s="4" cm="1">
        <f t="array" ref="S474">INDEX(begin!I:I,MATCH(1, (all_inputs!A474=begin!A:A)*(all_inputs!J474=begin!C:C),0))</f>
        <v>0</v>
      </c>
      <c r="T474" s="4" cm="1">
        <f t="array" ref="T474">INDEX(begin!J:J,MATCH(1, (all_inputs!A474=begin!A:A)*(all_inputs!J474=begin!C:C),0))</f>
        <v>0.05</v>
      </c>
      <c r="U474" s="4" cm="1">
        <f t="array" ref="U474">INDEX(begin!K:K,MATCH(1, (all_inputs!A474=begin!A:A)*(all_inputs!J474=begin!C:C),0))</f>
        <v>0.15</v>
      </c>
      <c r="V474" s="4" cm="1">
        <f t="array" ref="V474">INDEX(begin!L:L,MATCH(1, (all_inputs!A474=begin!A:A)*(all_inputs!J474=begin!C:C),0))</f>
        <v>0.8</v>
      </c>
      <c r="W474" s="4" cm="1">
        <f t="array" ref="W474">_xlfn.IFNA(INDEX(end!I:I,MATCH(1, (all_inputs!A474=end!A:A)*(all_inputs!J474=end!C:C),0)),"")</f>
        <v>0</v>
      </c>
      <c r="X474" s="4" cm="1">
        <f t="array" ref="X474">_xlfn.IFNA(INDEX(end!J:J,MATCH(1, (all_inputs!A474=end!A:A)*(all_inputs!J474=end!C:C),0)),"")</f>
        <v>0.05</v>
      </c>
      <c r="Y474" s="4" cm="1">
        <f t="array" ref="Y474">_xlfn.IFNA(INDEX(end!K:K,MATCH(1, (all_inputs!A474=end!A:A)*(all_inputs!J474=end!C:C),0)),"")</f>
        <v>0.15</v>
      </c>
      <c r="Z474" s="4" cm="1">
        <f t="array" ref="Z474">_xlfn.IFNA(INDEX(end!L:L,MATCH(1, (all_inputs!A474=end!A:A)*(all_inputs!J474=end!C:C),0)),"")</f>
        <v>0.8</v>
      </c>
      <c r="AA474" t="b">
        <f>VLOOKUP(A474,ui!A$37:B$52,2,FALSE)</f>
        <v>0</v>
      </c>
    </row>
    <row r="475" spans="1:27" x14ac:dyDescent="0.25">
      <c r="A475" s="2" t="s">
        <v>32</v>
      </c>
      <c r="B475" s="41">
        <f>IF(COUNTIF(dropdown!B$2:B$12,all_inputs!A475)=1,1,IF(COUNTIF(dropdown!C$2:C$4,all_inputs!A475)=1,2,IF(COUNTIF(dropdown!D$2:D$3,all_inputs!A475)=1,3,"?")))</f>
        <v>2</v>
      </c>
      <c r="C475" s="2" t="s">
        <v>18</v>
      </c>
      <c r="D475" s="2" t="s">
        <v>469</v>
      </c>
      <c r="E475" s="2" t="s">
        <v>440</v>
      </c>
      <c r="F475" s="2">
        <f>RR!F16</f>
        <v>0.9</v>
      </c>
      <c r="G475" s="5">
        <f>ui!B$4</f>
        <v>2025</v>
      </c>
      <c r="H475" s="5">
        <f>ui!B$5</f>
        <v>2050</v>
      </c>
      <c r="I475" s="5" t="s">
        <v>93</v>
      </c>
      <c r="J475" s="5" t="str">
        <f>VLOOKUP(ui!B$2,dropdown!M:O,3,FALSE)</f>
        <v>LIC</v>
      </c>
      <c r="K475" s="5" cm="1">
        <f t="array" ref="K475">INDEX(begin!E:E,MATCH(1, (all_inputs!A475=begin!A:A)*(all_inputs!J475=begin!C:C),0))</f>
        <v>0</v>
      </c>
      <c r="L475" s="5" cm="1">
        <f t="array" ref="L475">INDEX(begin!F:F,MATCH(1, (all_inputs!A475=begin!A:A)*(all_inputs!J475=begin!C:C),0))</f>
        <v>0.05</v>
      </c>
      <c r="M475" s="5" cm="1">
        <f t="array" ref="M475">INDEX(begin!G:G,MATCH(1, (all_inputs!A475=begin!A:A)*(all_inputs!J475=begin!C:C),0))</f>
        <v>4.5000000000000005E-2</v>
      </c>
      <c r="N475" s="5">
        <f>VLOOKUP(A475,ui!A$37:C$52,3,FALSE)</f>
        <v>4.5000000000000005E-2</v>
      </c>
      <c r="O475" s="5" cm="1">
        <f t="array" ref="O475">INDEX(end!E:E,MATCH(1, (all_inputs!A475=end!A:A)*(all_inputs!J475=end!C:C),0))</f>
        <v>0</v>
      </c>
      <c r="P475" s="5" cm="1">
        <f t="array" ref="P475">INDEX(end!F:F,MATCH(1, (all_inputs!A475=end!A:A)*(all_inputs!J475=end!C:C),0))</f>
        <v>0.8</v>
      </c>
      <c r="Q475" s="5" cm="1">
        <f t="array" ref="Q475">INDEX(end!G:G,MATCH(1, (all_inputs!A475=end!A:A)*(all_inputs!J475=end!C:C),0))</f>
        <v>0.72000000000000008</v>
      </c>
      <c r="R475" s="5">
        <f>VLOOKUP(A475,ui!A$37:G$52,4,FALSE)</f>
        <v>4.0500000000000008E-2</v>
      </c>
      <c r="S475" s="5" cm="1">
        <f t="array" ref="S475">INDEX(begin!I:I,MATCH(1, (all_inputs!A475=begin!A:A)*(all_inputs!J475=begin!C:C),0))</f>
        <v>0</v>
      </c>
      <c r="T475" s="5" cm="1">
        <f t="array" ref="T475">INDEX(begin!J:J,MATCH(1, (all_inputs!A475=begin!A:A)*(all_inputs!J475=begin!C:C),0))</f>
        <v>0.05</v>
      </c>
      <c r="U475" s="5" cm="1">
        <f t="array" ref="U475">INDEX(begin!K:K,MATCH(1, (all_inputs!A475=begin!A:A)*(all_inputs!J475=begin!C:C),0))</f>
        <v>0.15</v>
      </c>
      <c r="V475" s="5" cm="1">
        <f t="array" ref="V475">INDEX(begin!L:L,MATCH(1, (all_inputs!A475=begin!A:A)*(all_inputs!J475=begin!C:C),0))</f>
        <v>0.8</v>
      </c>
      <c r="W475" s="5" cm="1">
        <f t="array" ref="W475">_xlfn.IFNA(INDEX(end!I:I,MATCH(1, (all_inputs!A475=end!A:A)*(all_inputs!J475=end!C:C),0)),"")</f>
        <v>0</v>
      </c>
      <c r="X475" s="5" cm="1">
        <f t="array" ref="X475">_xlfn.IFNA(INDEX(end!J:J,MATCH(1, (all_inputs!A475=end!A:A)*(all_inputs!J475=end!C:C),0)),"")</f>
        <v>0.05</v>
      </c>
      <c r="Y475" s="5" cm="1">
        <f t="array" ref="Y475">_xlfn.IFNA(INDEX(end!K:K,MATCH(1, (all_inputs!A475=end!A:A)*(all_inputs!J475=end!C:C),0)),"")</f>
        <v>0.15</v>
      </c>
      <c r="Z475" s="5" cm="1">
        <f t="array" ref="Z475">_xlfn.IFNA(INDEX(end!L:L,MATCH(1, (all_inputs!A475=end!A:A)*(all_inputs!J475=end!C:C),0)),"")</f>
        <v>0.8</v>
      </c>
      <c r="AA475" s="2" t="b">
        <f>VLOOKUP(A475,ui!A$37:B$52,2,FALSE)</f>
        <v>0</v>
      </c>
    </row>
    <row r="476" spans="1:27" x14ac:dyDescent="0.25">
      <c r="A476" t="s">
        <v>33</v>
      </c>
      <c r="B476" s="40">
        <f>IF(COUNTIF(dropdown!B$2:B$12,all_inputs!A476)=1,1,IF(COUNTIF(dropdown!C$2:C$4,all_inputs!A476)=1,2,IF(COUNTIF(dropdown!D$2:D$3,all_inputs!A476)=1,3,"?")))</f>
        <v>1</v>
      </c>
      <c r="C476" t="s">
        <v>13</v>
      </c>
      <c r="D476" t="s">
        <v>472</v>
      </c>
      <c r="E476" t="s">
        <v>440</v>
      </c>
      <c r="F476" s="4" cm="1">
        <f t="array" ref="F476">IF(B476&lt;&gt;3,1,_xlfn.IFNA(INDEX(#REF!,MATCH(1, (all_inputs!A476=#REF!)*(all_inputs!D476=#REF!),0)),1))</f>
        <v>1</v>
      </c>
      <c r="G476" s="4">
        <f>ui!B$4</f>
        <v>2025</v>
      </c>
      <c r="H476" s="4">
        <f>ui!B$5</f>
        <v>2050</v>
      </c>
      <c r="I476" s="4" t="s">
        <v>93</v>
      </c>
      <c r="J476" s="4" t="str">
        <f>VLOOKUP(ui!B$2,dropdown!M:O,3,FALSE)</f>
        <v>LIC</v>
      </c>
      <c r="K476" s="4" cm="1">
        <f t="array" ref="K476">INDEX(begin!E:E,MATCH(1, (all_inputs!A476=begin!A:A)*(all_inputs!J476=begin!C:C),0))</f>
        <v>0</v>
      </c>
      <c r="L476" s="4" cm="1">
        <f t="array" ref="L476">INDEX(begin!F:F,MATCH(1, (all_inputs!A476=begin!A:A)*(all_inputs!J476=begin!C:C),0))</f>
        <v>0.05</v>
      </c>
      <c r="M476" s="4" cm="1">
        <f t="array" ref="M476">INDEX(begin!G:G,MATCH(1, (all_inputs!A476=begin!A:A)*(all_inputs!J476=begin!C:C),0))</f>
        <v>4.5000000000000005E-2</v>
      </c>
      <c r="N476" s="4">
        <f>VLOOKUP(A476,ui!A$37:C$52,3,FALSE)</f>
        <v>4.5000000000000005E-2</v>
      </c>
      <c r="O476" s="4" cm="1">
        <f t="array" ref="O476">INDEX(end!E:E,MATCH(1, (all_inputs!A476=end!A:A)*(all_inputs!J476=end!C:C),0))</f>
        <v>0</v>
      </c>
      <c r="P476" s="4" cm="1">
        <f t="array" ref="P476">INDEX(end!F:F,MATCH(1, (all_inputs!A476=end!A:A)*(all_inputs!J476=end!C:C),0))</f>
        <v>0.8</v>
      </c>
      <c r="Q476" s="4" cm="1">
        <f t="array" ref="Q476">INDEX(end!G:G,MATCH(1, (all_inputs!A476=end!A:A)*(all_inputs!J476=end!C:C),0))</f>
        <v>0.72000000000000008</v>
      </c>
      <c r="R476" s="4">
        <f>VLOOKUP(A476,ui!A$37:G$52,4,FALSE)</f>
        <v>4.0500000000000008E-2</v>
      </c>
      <c r="S476" s="4" cm="1">
        <f t="array" ref="S476">INDEX(begin!I:I,MATCH(1, (all_inputs!A476=begin!A:A)*(all_inputs!J476=begin!C:C),0))</f>
        <v>0</v>
      </c>
      <c r="T476" s="4" cm="1">
        <f t="array" ref="T476">INDEX(begin!J:J,MATCH(1, (all_inputs!A476=begin!A:A)*(all_inputs!J476=begin!C:C),0))</f>
        <v>1</v>
      </c>
      <c r="U476" s="4" cm="1">
        <f t="array" ref="U476">INDEX(begin!K:K,MATCH(1, (all_inputs!A476=begin!A:A)*(all_inputs!J476=begin!C:C),0))</f>
        <v>0</v>
      </c>
      <c r="V476" s="4" cm="1">
        <f t="array" ref="V476">INDEX(begin!L:L,MATCH(1, (all_inputs!A476=begin!A:A)*(all_inputs!J476=begin!C:C),0))</f>
        <v>0</v>
      </c>
      <c r="W476" s="4" cm="1">
        <f t="array" ref="W476">_xlfn.IFNA(INDEX(end!I:I,MATCH(1, (all_inputs!A476=end!A:A)*(all_inputs!J476=end!C:C),0)),"")</f>
        <v>0</v>
      </c>
      <c r="X476" s="4" cm="1">
        <f t="array" ref="X476">_xlfn.IFNA(INDEX(end!J:J,MATCH(1, (all_inputs!A476=end!A:A)*(all_inputs!J476=end!C:C),0)),"")</f>
        <v>1</v>
      </c>
      <c r="Y476" s="4" cm="1">
        <f t="array" ref="Y476">_xlfn.IFNA(INDEX(end!K:K,MATCH(1, (all_inputs!A476=end!A:A)*(all_inputs!J476=end!C:C),0)),"")</f>
        <v>0</v>
      </c>
      <c r="Z476" s="4" cm="1">
        <f t="array" ref="Z476">_xlfn.IFNA(INDEX(end!L:L,MATCH(1, (all_inputs!A476=end!A:A)*(all_inputs!J476=end!C:C),0)),"")</f>
        <v>0</v>
      </c>
      <c r="AA476" t="b">
        <f>VLOOKUP(A476,ui!A$37:B$52,2,FALSE)</f>
        <v>0</v>
      </c>
    </row>
    <row r="477" spans="1:27" x14ac:dyDescent="0.25">
      <c r="A477" t="s">
        <v>33</v>
      </c>
      <c r="B477" s="40">
        <f>IF(COUNTIF(dropdown!B$2:B$12,all_inputs!A477)=1,1,IF(COUNTIF(dropdown!C$2:C$4,all_inputs!A477)=1,2,IF(COUNTIF(dropdown!D$2:D$3,all_inputs!A477)=1,3,"?")))</f>
        <v>1</v>
      </c>
      <c r="C477" t="s">
        <v>14</v>
      </c>
      <c r="D477" t="s">
        <v>466</v>
      </c>
      <c r="E477" t="s">
        <v>440</v>
      </c>
      <c r="F477">
        <f>RR!C17</f>
        <v>1</v>
      </c>
      <c r="G477" s="4">
        <f>ui!B$4</f>
        <v>2025</v>
      </c>
      <c r="H477" s="4">
        <f>ui!B$5</f>
        <v>2050</v>
      </c>
      <c r="I477" s="4" t="s">
        <v>93</v>
      </c>
      <c r="J477" s="4" t="str">
        <f>VLOOKUP(ui!B$2,dropdown!M:O,3,FALSE)</f>
        <v>LIC</v>
      </c>
      <c r="K477" s="4" cm="1">
        <f t="array" ref="K477">INDEX(begin!E:E,MATCH(1, (all_inputs!A477=begin!A:A)*(all_inputs!J477=begin!C:C),0))</f>
        <v>0</v>
      </c>
      <c r="L477" s="4" cm="1">
        <f t="array" ref="L477">INDEX(begin!F:F,MATCH(1, (all_inputs!A477=begin!A:A)*(all_inputs!J477=begin!C:C),0))</f>
        <v>0.05</v>
      </c>
      <c r="M477" s="4" cm="1">
        <f t="array" ref="M477">INDEX(begin!G:G,MATCH(1, (all_inputs!A477=begin!A:A)*(all_inputs!J477=begin!C:C),0))</f>
        <v>4.5000000000000005E-2</v>
      </c>
      <c r="N477" s="4">
        <f>VLOOKUP(A477,ui!A$37:C$52,3,FALSE)</f>
        <v>4.5000000000000005E-2</v>
      </c>
      <c r="O477" s="4" cm="1">
        <f t="array" ref="O477">INDEX(end!E:E,MATCH(1, (all_inputs!A477=end!A:A)*(all_inputs!J477=end!C:C),0))</f>
        <v>0</v>
      </c>
      <c r="P477" s="4" cm="1">
        <f t="array" ref="P477">INDEX(end!F:F,MATCH(1, (all_inputs!A477=end!A:A)*(all_inputs!J477=end!C:C),0))</f>
        <v>0.8</v>
      </c>
      <c r="Q477" s="4" cm="1">
        <f t="array" ref="Q477">INDEX(end!G:G,MATCH(1, (all_inputs!A477=end!A:A)*(all_inputs!J477=end!C:C),0))</f>
        <v>0.72000000000000008</v>
      </c>
      <c r="R477" s="4">
        <f>VLOOKUP(A477,ui!A$37:G$52,4,FALSE)</f>
        <v>4.0500000000000008E-2</v>
      </c>
      <c r="S477" s="4" cm="1">
        <f t="array" ref="S477">INDEX(begin!I:I,MATCH(1, (all_inputs!A477=begin!A:A)*(all_inputs!J477=begin!C:C),0))</f>
        <v>0</v>
      </c>
      <c r="T477" s="4" cm="1">
        <f t="array" ref="T477">INDEX(begin!J:J,MATCH(1, (all_inputs!A477=begin!A:A)*(all_inputs!J477=begin!C:C),0))</f>
        <v>1</v>
      </c>
      <c r="U477" s="4" cm="1">
        <f t="array" ref="U477">INDEX(begin!K:K,MATCH(1, (all_inputs!A477=begin!A:A)*(all_inputs!J477=begin!C:C),0))</f>
        <v>0</v>
      </c>
      <c r="V477" s="4" cm="1">
        <f t="array" ref="V477">INDEX(begin!L:L,MATCH(1, (all_inputs!A477=begin!A:A)*(all_inputs!J477=begin!C:C),0))</f>
        <v>0</v>
      </c>
      <c r="W477" s="4" cm="1">
        <f t="array" ref="W477">_xlfn.IFNA(INDEX(end!I:I,MATCH(1, (all_inputs!A477=end!A:A)*(all_inputs!J477=end!C:C),0)),"")</f>
        <v>0</v>
      </c>
      <c r="X477" s="4" cm="1">
        <f t="array" ref="X477">_xlfn.IFNA(INDEX(end!J:J,MATCH(1, (all_inputs!A477=end!A:A)*(all_inputs!J477=end!C:C),0)),"")</f>
        <v>1</v>
      </c>
      <c r="Y477" s="4" cm="1">
        <f t="array" ref="Y477">_xlfn.IFNA(INDEX(end!K:K,MATCH(1, (all_inputs!A477=end!A:A)*(all_inputs!J477=end!C:C),0)),"")</f>
        <v>0</v>
      </c>
      <c r="Z477" s="4" cm="1">
        <f t="array" ref="Z477">_xlfn.IFNA(INDEX(end!L:L,MATCH(1, (all_inputs!A477=end!A:A)*(all_inputs!J477=end!C:C),0)),"")</f>
        <v>0</v>
      </c>
      <c r="AA477" t="b">
        <f>VLOOKUP(A477,ui!A$37:B$52,2,FALSE)</f>
        <v>0</v>
      </c>
    </row>
    <row r="478" spans="1:27" x14ac:dyDescent="0.25">
      <c r="A478" t="s">
        <v>33</v>
      </c>
      <c r="B478" s="40">
        <f>IF(COUNTIF(dropdown!B$2:B$12,all_inputs!A478)=1,1,IF(COUNTIF(dropdown!C$2:C$4,all_inputs!A478)=1,2,IF(COUNTIF(dropdown!D$2:D$3,all_inputs!A478)=1,3,"?")))</f>
        <v>1</v>
      </c>
      <c r="C478" t="s">
        <v>15</v>
      </c>
      <c r="D478" t="s">
        <v>466</v>
      </c>
      <c r="E478" t="s">
        <v>440</v>
      </c>
      <c r="F478" s="4" cm="1">
        <f t="array" ref="F478">IF(B478&lt;&gt;3,1,_xlfn.IFNA(INDEX(#REF!,MATCH(1, (all_inputs!A478=#REF!)*(all_inputs!D478=#REF!),0)),1))</f>
        <v>1</v>
      </c>
      <c r="G478" s="4">
        <f>ui!B$4</f>
        <v>2025</v>
      </c>
      <c r="H478" s="4">
        <f>ui!B$5</f>
        <v>2050</v>
      </c>
      <c r="I478" s="4" t="s">
        <v>93</v>
      </c>
      <c r="J478" s="4" t="str">
        <f>VLOOKUP(ui!B$2,dropdown!M:O,3,FALSE)</f>
        <v>LIC</v>
      </c>
      <c r="K478" s="4" cm="1">
        <f t="array" ref="K478">INDEX(begin!E:E,MATCH(1, (all_inputs!A478=begin!A:A)*(all_inputs!J478=begin!C:C),0))</f>
        <v>0</v>
      </c>
      <c r="L478" s="4" cm="1">
        <f t="array" ref="L478">INDEX(begin!F:F,MATCH(1, (all_inputs!A478=begin!A:A)*(all_inputs!J478=begin!C:C),0))</f>
        <v>0.05</v>
      </c>
      <c r="M478" s="4" cm="1">
        <f t="array" ref="M478">INDEX(begin!G:G,MATCH(1, (all_inputs!A478=begin!A:A)*(all_inputs!J478=begin!C:C),0))</f>
        <v>4.5000000000000005E-2</v>
      </c>
      <c r="N478" s="4">
        <f>VLOOKUP(A478,ui!A$37:C$52,3,FALSE)</f>
        <v>4.5000000000000005E-2</v>
      </c>
      <c r="O478" s="4" cm="1">
        <f t="array" ref="O478">INDEX(end!E:E,MATCH(1, (all_inputs!A478=end!A:A)*(all_inputs!J478=end!C:C),0))</f>
        <v>0</v>
      </c>
      <c r="P478" s="4" cm="1">
        <f t="array" ref="P478">INDEX(end!F:F,MATCH(1, (all_inputs!A478=end!A:A)*(all_inputs!J478=end!C:C),0))</f>
        <v>0.8</v>
      </c>
      <c r="Q478" s="4" cm="1">
        <f t="array" ref="Q478">INDEX(end!G:G,MATCH(1, (all_inputs!A478=end!A:A)*(all_inputs!J478=end!C:C),0))</f>
        <v>0.72000000000000008</v>
      </c>
      <c r="R478" s="4">
        <f>VLOOKUP(A478,ui!A$37:G$52,4,FALSE)</f>
        <v>4.0500000000000008E-2</v>
      </c>
      <c r="S478" s="4" cm="1">
        <f t="array" ref="S478">INDEX(begin!I:I,MATCH(1, (all_inputs!A478=begin!A:A)*(all_inputs!J478=begin!C:C),0))</f>
        <v>0</v>
      </c>
      <c r="T478" s="4" cm="1">
        <f t="array" ref="T478">INDEX(begin!J:J,MATCH(1, (all_inputs!A478=begin!A:A)*(all_inputs!J478=begin!C:C),0))</f>
        <v>1</v>
      </c>
      <c r="U478" s="4" cm="1">
        <f t="array" ref="U478">INDEX(begin!K:K,MATCH(1, (all_inputs!A478=begin!A:A)*(all_inputs!J478=begin!C:C),0))</f>
        <v>0</v>
      </c>
      <c r="V478" s="4" cm="1">
        <f t="array" ref="V478">INDEX(begin!L:L,MATCH(1, (all_inputs!A478=begin!A:A)*(all_inputs!J478=begin!C:C),0))</f>
        <v>0</v>
      </c>
      <c r="W478" s="4" cm="1">
        <f t="array" ref="W478">_xlfn.IFNA(INDEX(end!I:I,MATCH(1, (all_inputs!A478=end!A:A)*(all_inputs!J478=end!C:C),0)),"")</f>
        <v>0</v>
      </c>
      <c r="X478" s="4" cm="1">
        <f t="array" ref="X478">_xlfn.IFNA(INDEX(end!J:J,MATCH(1, (all_inputs!A478=end!A:A)*(all_inputs!J478=end!C:C),0)),"")</f>
        <v>1</v>
      </c>
      <c r="Y478" s="4" cm="1">
        <f t="array" ref="Y478">_xlfn.IFNA(INDEX(end!K:K,MATCH(1, (all_inputs!A478=end!A:A)*(all_inputs!J478=end!C:C),0)),"")</f>
        <v>0</v>
      </c>
      <c r="Z478" s="4" cm="1">
        <f t="array" ref="Z478">_xlfn.IFNA(INDEX(end!L:L,MATCH(1, (all_inputs!A478=end!A:A)*(all_inputs!J478=end!C:C),0)),"")</f>
        <v>0</v>
      </c>
      <c r="AA478" t="b">
        <f>VLOOKUP(A478,ui!A$37:B$52,2,FALSE)</f>
        <v>0</v>
      </c>
    </row>
    <row r="479" spans="1:27" x14ac:dyDescent="0.25">
      <c r="A479" t="s">
        <v>33</v>
      </c>
      <c r="B479" s="40">
        <f>IF(COUNTIF(dropdown!B$2:B$12,all_inputs!A479)=1,1,IF(COUNTIF(dropdown!C$2:C$4,all_inputs!A479)=1,2,IF(COUNTIF(dropdown!D$2:D$3,all_inputs!A479)=1,3,"?")))</f>
        <v>1</v>
      </c>
      <c r="C479" t="s">
        <v>16</v>
      </c>
      <c r="D479" t="s">
        <v>467</v>
      </c>
      <c r="E479" t="s">
        <v>440</v>
      </c>
      <c r="F479" s="4" cm="1">
        <f t="array" ref="F479">IF(B479&lt;&gt;3,1,_xlfn.IFNA(INDEX(#REF!,MATCH(1, (all_inputs!A479=#REF!)*(all_inputs!D479=#REF!),0)),1))</f>
        <v>1</v>
      </c>
      <c r="G479" s="4">
        <f>ui!B$4</f>
        <v>2025</v>
      </c>
      <c r="H479" s="4">
        <f>ui!B$5</f>
        <v>2050</v>
      </c>
      <c r="I479" s="4" t="s">
        <v>93</v>
      </c>
      <c r="J479" s="4" t="str">
        <f>VLOOKUP(ui!B$2,dropdown!M:O,3,FALSE)</f>
        <v>LIC</v>
      </c>
      <c r="K479" s="4" cm="1">
        <f t="array" ref="K479">INDEX(begin!E:E,MATCH(1, (all_inputs!A479=begin!A:A)*(all_inputs!J479=begin!C:C),0))</f>
        <v>0</v>
      </c>
      <c r="L479" s="4" cm="1">
        <f t="array" ref="L479">INDEX(begin!F:F,MATCH(1, (all_inputs!A479=begin!A:A)*(all_inputs!J479=begin!C:C),0))</f>
        <v>0.05</v>
      </c>
      <c r="M479" s="4" cm="1">
        <f t="array" ref="M479">INDEX(begin!G:G,MATCH(1, (all_inputs!A479=begin!A:A)*(all_inputs!J479=begin!C:C),0))</f>
        <v>4.5000000000000005E-2</v>
      </c>
      <c r="N479" s="4">
        <f>VLOOKUP(A479,ui!A$37:C$52,3,FALSE)</f>
        <v>4.5000000000000005E-2</v>
      </c>
      <c r="O479" s="4" cm="1">
        <f t="array" ref="O479">INDEX(end!E:E,MATCH(1, (all_inputs!A479=end!A:A)*(all_inputs!J479=end!C:C),0))</f>
        <v>0</v>
      </c>
      <c r="P479" s="4" cm="1">
        <f t="array" ref="P479">INDEX(end!F:F,MATCH(1, (all_inputs!A479=end!A:A)*(all_inputs!J479=end!C:C),0))</f>
        <v>0.8</v>
      </c>
      <c r="Q479" s="4" cm="1">
        <f t="array" ref="Q479">INDEX(end!G:G,MATCH(1, (all_inputs!A479=end!A:A)*(all_inputs!J479=end!C:C),0))</f>
        <v>0.72000000000000008</v>
      </c>
      <c r="R479" s="4">
        <f>VLOOKUP(A479,ui!A$37:G$52,4,FALSE)</f>
        <v>4.0500000000000008E-2</v>
      </c>
      <c r="S479" s="4" cm="1">
        <f t="array" ref="S479">INDEX(begin!I:I,MATCH(1, (all_inputs!A479=begin!A:A)*(all_inputs!J479=begin!C:C),0))</f>
        <v>0</v>
      </c>
      <c r="T479" s="4" cm="1">
        <f t="array" ref="T479">INDEX(begin!J:J,MATCH(1, (all_inputs!A479=begin!A:A)*(all_inputs!J479=begin!C:C),0))</f>
        <v>1</v>
      </c>
      <c r="U479" s="4" cm="1">
        <f t="array" ref="U479">INDEX(begin!K:K,MATCH(1, (all_inputs!A479=begin!A:A)*(all_inputs!J479=begin!C:C),0))</f>
        <v>0</v>
      </c>
      <c r="V479" s="4" cm="1">
        <f t="array" ref="V479">INDEX(begin!L:L,MATCH(1, (all_inputs!A479=begin!A:A)*(all_inputs!J479=begin!C:C),0))</f>
        <v>0</v>
      </c>
      <c r="W479" s="4" cm="1">
        <f t="array" ref="W479">_xlfn.IFNA(INDEX(end!I:I,MATCH(1, (all_inputs!A479=end!A:A)*(all_inputs!J479=end!C:C),0)),"")</f>
        <v>0</v>
      </c>
      <c r="X479" s="4" cm="1">
        <f t="array" ref="X479">_xlfn.IFNA(INDEX(end!J:J,MATCH(1, (all_inputs!A479=end!A:A)*(all_inputs!J479=end!C:C),0)),"")</f>
        <v>1</v>
      </c>
      <c r="Y479" s="4" cm="1">
        <f t="array" ref="Y479">_xlfn.IFNA(INDEX(end!K:K,MATCH(1, (all_inputs!A479=end!A:A)*(all_inputs!J479=end!C:C),0)),"")</f>
        <v>0</v>
      </c>
      <c r="Z479" s="4" cm="1">
        <f t="array" ref="Z479">_xlfn.IFNA(INDEX(end!L:L,MATCH(1, (all_inputs!A479=end!A:A)*(all_inputs!J479=end!C:C),0)),"")</f>
        <v>0</v>
      </c>
      <c r="AA479" t="b">
        <f>VLOOKUP(A479,ui!A$37:B$52,2,FALSE)</f>
        <v>0</v>
      </c>
    </row>
    <row r="480" spans="1:27" x14ac:dyDescent="0.25">
      <c r="A480" t="s">
        <v>33</v>
      </c>
      <c r="B480" s="40">
        <f>IF(COUNTIF(dropdown!B$2:B$12,all_inputs!A480)=1,1,IF(COUNTIF(dropdown!C$2:C$4,all_inputs!A480)=1,2,IF(COUNTIF(dropdown!D$2:D$3,all_inputs!A480)=1,3,"?")))</f>
        <v>1</v>
      </c>
      <c r="C480" t="s">
        <v>17</v>
      </c>
      <c r="D480" t="s">
        <v>468</v>
      </c>
      <c r="E480" t="s">
        <v>440</v>
      </c>
      <c r="F480" s="4" cm="1">
        <f t="array" ref="F480">IF(B480&lt;&gt;3,1,_xlfn.IFNA(INDEX(#REF!,MATCH(1, (all_inputs!A480=#REF!)*(all_inputs!D480=#REF!),0)),1))</f>
        <v>1</v>
      </c>
      <c r="G480" s="4">
        <f>ui!B$4</f>
        <v>2025</v>
      </c>
      <c r="H480" s="4">
        <f>ui!B$5</f>
        <v>2050</v>
      </c>
      <c r="I480" s="4" t="s">
        <v>93</v>
      </c>
      <c r="J480" s="4" t="str">
        <f>VLOOKUP(ui!B$2,dropdown!M:O,3,FALSE)</f>
        <v>LIC</v>
      </c>
      <c r="K480" s="4" cm="1">
        <f t="array" ref="K480">INDEX(begin!E:E,MATCH(1, (all_inputs!A480=begin!A:A)*(all_inputs!J480=begin!C:C),0))</f>
        <v>0</v>
      </c>
      <c r="L480" s="4" cm="1">
        <f t="array" ref="L480">INDEX(begin!F:F,MATCH(1, (all_inputs!A480=begin!A:A)*(all_inputs!J480=begin!C:C),0))</f>
        <v>0.05</v>
      </c>
      <c r="M480" s="4" cm="1">
        <f t="array" ref="M480">INDEX(begin!G:G,MATCH(1, (all_inputs!A480=begin!A:A)*(all_inputs!J480=begin!C:C),0))</f>
        <v>4.5000000000000005E-2</v>
      </c>
      <c r="N480" s="4">
        <f>VLOOKUP(A480,ui!A$37:C$52,3,FALSE)</f>
        <v>4.5000000000000005E-2</v>
      </c>
      <c r="O480" s="4" cm="1">
        <f t="array" ref="O480">INDEX(end!E:E,MATCH(1, (all_inputs!A480=end!A:A)*(all_inputs!J480=end!C:C),0))</f>
        <v>0</v>
      </c>
      <c r="P480" s="4" cm="1">
        <f t="array" ref="P480">INDEX(end!F:F,MATCH(1, (all_inputs!A480=end!A:A)*(all_inputs!J480=end!C:C),0))</f>
        <v>0.8</v>
      </c>
      <c r="Q480" s="4" cm="1">
        <f t="array" ref="Q480">INDEX(end!G:G,MATCH(1, (all_inputs!A480=end!A:A)*(all_inputs!J480=end!C:C),0))</f>
        <v>0.72000000000000008</v>
      </c>
      <c r="R480" s="4">
        <f>VLOOKUP(A480,ui!A$37:G$52,4,FALSE)</f>
        <v>4.0500000000000008E-2</v>
      </c>
      <c r="S480" s="4" cm="1">
        <f t="array" ref="S480">INDEX(begin!I:I,MATCH(1, (all_inputs!A480=begin!A:A)*(all_inputs!J480=begin!C:C),0))</f>
        <v>0</v>
      </c>
      <c r="T480" s="4" cm="1">
        <f t="array" ref="T480">INDEX(begin!J:J,MATCH(1, (all_inputs!A480=begin!A:A)*(all_inputs!J480=begin!C:C),0))</f>
        <v>1</v>
      </c>
      <c r="U480" s="4" cm="1">
        <f t="array" ref="U480">INDEX(begin!K:K,MATCH(1, (all_inputs!A480=begin!A:A)*(all_inputs!J480=begin!C:C),0))</f>
        <v>0</v>
      </c>
      <c r="V480" s="4" cm="1">
        <f t="array" ref="V480">INDEX(begin!L:L,MATCH(1, (all_inputs!A480=begin!A:A)*(all_inputs!J480=begin!C:C),0))</f>
        <v>0</v>
      </c>
      <c r="W480" s="4" cm="1">
        <f t="array" ref="W480">_xlfn.IFNA(INDEX(end!I:I,MATCH(1, (all_inputs!A480=end!A:A)*(all_inputs!J480=end!C:C),0)),"")</f>
        <v>0</v>
      </c>
      <c r="X480" s="4" cm="1">
        <f t="array" ref="X480">_xlfn.IFNA(INDEX(end!J:J,MATCH(1, (all_inputs!A480=end!A:A)*(all_inputs!J480=end!C:C),0)),"")</f>
        <v>1</v>
      </c>
      <c r="Y480" s="4" cm="1">
        <f t="array" ref="Y480">_xlfn.IFNA(INDEX(end!K:K,MATCH(1, (all_inputs!A480=end!A:A)*(all_inputs!J480=end!C:C),0)),"")</f>
        <v>0</v>
      </c>
      <c r="Z480" s="4" cm="1">
        <f t="array" ref="Z480">_xlfn.IFNA(INDEX(end!L:L,MATCH(1, (all_inputs!A480=end!A:A)*(all_inputs!J480=end!C:C),0)),"")</f>
        <v>0</v>
      </c>
      <c r="AA480" t="b">
        <f>VLOOKUP(A480,ui!A$37:B$52,2,FALSE)</f>
        <v>0</v>
      </c>
    </row>
    <row r="481" spans="1:27" x14ac:dyDescent="0.25">
      <c r="A481" s="2" t="s">
        <v>33</v>
      </c>
      <c r="B481" s="41">
        <f>IF(COUNTIF(dropdown!B$2:B$12,all_inputs!A481)=1,1,IF(COUNTIF(dropdown!C$2:C$4,all_inputs!A481)=1,2,IF(COUNTIF(dropdown!D$2:D$3,all_inputs!A481)=1,3,"?")))</f>
        <v>1</v>
      </c>
      <c r="C481" s="2" t="s">
        <v>18</v>
      </c>
      <c r="D481" s="2" t="s">
        <v>469</v>
      </c>
      <c r="E481" s="2" t="s">
        <v>440</v>
      </c>
      <c r="F481" s="2">
        <f>RR!F17</f>
        <v>0.5</v>
      </c>
      <c r="G481" s="5">
        <f>ui!B$4</f>
        <v>2025</v>
      </c>
      <c r="H481" s="5">
        <f>ui!B$5</f>
        <v>2050</v>
      </c>
      <c r="I481" s="5" t="s">
        <v>93</v>
      </c>
      <c r="J481" s="5" t="str">
        <f>VLOOKUP(ui!B$2,dropdown!M:O,3,FALSE)</f>
        <v>LIC</v>
      </c>
      <c r="K481" s="5" cm="1">
        <f t="array" ref="K481">INDEX(begin!E:E,MATCH(1, (all_inputs!A481=begin!A:A)*(all_inputs!J481=begin!C:C),0))</f>
        <v>0</v>
      </c>
      <c r="L481" s="5" cm="1">
        <f t="array" ref="L481">INDEX(begin!F:F,MATCH(1, (all_inputs!A481=begin!A:A)*(all_inputs!J481=begin!C:C),0))</f>
        <v>0.05</v>
      </c>
      <c r="M481" s="5" cm="1">
        <f t="array" ref="M481">INDEX(begin!G:G,MATCH(1, (all_inputs!A481=begin!A:A)*(all_inputs!J481=begin!C:C),0))</f>
        <v>4.5000000000000005E-2</v>
      </c>
      <c r="N481" s="5">
        <f>VLOOKUP(A481,ui!A$37:C$52,3,FALSE)</f>
        <v>4.5000000000000005E-2</v>
      </c>
      <c r="O481" s="5" cm="1">
        <f t="array" ref="O481">INDEX(end!E:E,MATCH(1, (all_inputs!A481=end!A:A)*(all_inputs!J481=end!C:C),0))</f>
        <v>0</v>
      </c>
      <c r="P481" s="5" cm="1">
        <f t="array" ref="P481">INDEX(end!F:F,MATCH(1, (all_inputs!A481=end!A:A)*(all_inputs!J481=end!C:C),0))</f>
        <v>0.8</v>
      </c>
      <c r="Q481" s="5" cm="1">
        <f t="array" ref="Q481">INDEX(end!G:G,MATCH(1, (all_inputs!A481=end!A:A)*(all_inputs!J481=end!C:C),0))</f>
        <v>0.72000000000000008</v>
      </c>
      <c r="R481" s="5">
        <f>VLOOKUP(A481,ui!A$37:G$52,4,FALSE)</f>
        <v>4.0500000000000008E-2</v>
      </c>
      <c r="S481" s="5" cm="1">
        <f t="array" ref="S481">INDEX(begin!I:I,MATCH(1, (all_inputs!A481=begin!A:A)*(all_inputs!J481=begin!C:C),0))</f>
        <v>0</v>
      </c>
      <c r="T481" s="5" cm="1">
        <f t="array" ref="T481">INDEX(begin!J:J,MATCH(1, (all_inputs!A481=begin!A:A)*(all_inputs!J481=begin!C:C),0))</f>
        <v>1</v>
      </c>
      <c r="U481" s="5" cm="1">
        <f t="array" ref="U481">INDEX(begin!K:K,MATCH(1, (all_inputs!A481=begin!A:A)*(all_inputs!J481=begin!C:C),0))</f>
        <v>0</v>
      </c>
      <c r="V481" s="5" cm="1">
        <f t="array" ref="V481">INDEX(begin!L:L,MATCH(1, (all_inputs!A481=begin!A:A)*(all_inputs!J481=begin!C:C),0))</f>
        <v>0</v>
      </c>
      <c r="W481" s="5" cm="1">
        <f t="array" ref="W481">_xlfn.IFNA(INDEX(end!I:I,MATCH(1, (all_inputs!A481=end!A:A)*(all_inputs!J481=end!C:C),0)),"")</f>
        <v>0</v>
      </c>
      <c r="X481" s="5" cm="1">
        <f t="array" ref="X481">_xlfn.IFNA(INDEX(end!J:J,MATCH(1, (all_inputs!A481=end!A:A)*(all_inputs!J481=end!C:C),0)),"")</f>
        <v>1</v>
      </c>
      <c r="Y481" s="5" cm="1">
        <f t="array" ref="Y481">_xlfn.IFNA(INDEX(end!K:K,MATCH(1, (all_inputs!A481=end!A:A)*(all_inputs!J481=end!C:C),0)),"")</f>
        <v>0</v>
      </c>
      <c r="Z481" s="5" cm="1">
        <f t="array" ref="Z481">_xlfn.IFNA(INDEX(end!L:L,MATCH(1, (all_inputs!A481=end!A:A)*(all_inputs!J481=end!C:C),0)),"")</f>
        <v>0</v>
      </c>
      <c r="AA481" s="2" t="b">
        <f>VLOOKUP(A481,ui!A$37:B$52,2,FALSE)</f>
        <v>0</v>
      </c>
    </row>
    <row r="482" spans="1:27" hidden="1" x14ac:dyDescent="0.25">
      <c r="A482" t="s">
        <v>12</v>
      </c>
      <c r="B482">
        <f>IF(COUNTIF(dropdown!B$2:B$12,all_inputs!A482)=1,1,IF(COUNTIF(dropdown!C$2:C$4,all_inputs!A482)=1,2,IF(COUNTIF(dropdown!D$2:D$3,all_inputs!A482)=1,3,"?")))</f>
        <v>1</v>
      </c>
      <c r="C482" t="s">
        <v>13</v>
      </c>
      <c r="D482" t="s">
        <v>472</v>
      </c>
      <c r="E482" t="s">
        <v>473</v>
      </c>
      <c r="F482" s="4">
        <f>IF(AND(all_inputs!E482=dropdown!AC$8, COUNTIF(dropdown!AC$9:AC$24,all_inputs!A482)=1), dropdown!X$9, 1)</f>
        <v>1</v>
      </c>
      <c r="G482" s="4">
        <f>ui!B$4</f>
        <v>2025</v>
      </c>
      <c r="H482" s="4">
        <f>ui!B$5</f>
        <v>2050</v>
      </c>
      <c r="I482" s="4" t="s">
        <v>93</v>
      </c>
      <c r="J482" s="4" t="str">
        <f>VLOOKUP(ui!B$2,dropdown!M:O,3,FALSE)</f>
        <v>LIC</v>
      </c>
      <c r="K482" s="4"/>
      <c r="L482" s="4"/>
      <c r="M482" s="4"/>
      <c r="N482" s="4">
        <f>ui!C$56</f>
        <v>10</v>
      </c>
      <c r="O482" s="4"/>
      <c r="P482" s="4"/>
      <c r="Q482" s="4"/>
      <c r="R482" s="4">
        <f>ui!D$56</f>
        <v>30</v>
      </c>
      <c r="S482" s="4"/>
      <c r="T482" s="4"/>
      <c r="U482" s="4"/>
      <c r="V482" s="4"/>
      <c r="W482" s="4"/>
      <c r="X482" s="4"/>
      <c r="Y482" s="4"/>
      <c r="Z482" s="4"/>
      <c r="AA482" t="b">
        <f>VLOOKUP(E482,ui!A$56:B$56,2,FALSE)</f>
        <v>1</v>
      </c>
    </row>
    <row r="483" spans="1:27" hidden="1" x14ac:dyDescent="0.25">
      <c r="A483" t="s">
        <v>12</v>
      </c>
      <c r="B483">
        <f>IF(COUNTIF(dropdown!B$2:B$12,all_inputs!A483)=1,1,IF(COUNTIF(dropdown!C$2:C$4,all_inputs!A483)=1,2,IF(COUNTIF(dropdown!D$2:D$3,all_inputs!A483)=1,3,"?")))</f>
        <v>1</v>
      </c>
      <c r="C483" t="s">
        <v>14</v>
      </c>
      <c r="D483" t="s">
        <v>466</v>
      </c>
      <c r="E483" t="s">
        <v>473</v>
      </c>
      <c r="F483">
        <f>IF(AND(all_inputs!E483=dropdown!AC$8, COUNTIF(dropdown!AC$9:AC$24,all_inputs!A483)=1), dropdown!X$10, 1)</f>
        <v>1</v>
      </c>
      <c r="G483" s="4">
        <f>ui!B$4</f>
        <v>2025</v>
      </c>
      <c r="H483" s="4">
        <f>ui!B$5</f>
        <v>2050</v>
      </c>
      <c r="I483" s="4" t="s">
        <v>93</v>
      </c>
      <c r="J483" s="4" t="str">
        <f>VLOOKUP(ui!B$2,dropdown!M:O,3,FALSE)</f>
        <v>LIC</v>
      </c>
      <c r="K483" s="4"/>
      <c r="L483" s="4"/>
      <c r="M483" s="4"/>
      <c r="N483" s="4">
        <f>ui!C$56</f>
        <v>10</v>
      </c>
      <c r="O483" s="4"/>
      <c r="P483" s="4"/>
      <c r="Q483" s="4"/>
      <c r="R483" s="4">
        <f>ui!D$56</f>
        <v>30</v>
      </c>
      <c r="S483" s="4"/>
      <c r="T483" s="4"/>
      <c r="U483" s="4"/>
      <c r="V483" s="4"/>
      <c r="W483" s="4"/>
      <c r="X483" s="4"/>
      <c r="Y483" s="4"/>
      <c r="Z483" s="4"/>
      <c r="AA483" t="b">
        <f>VLOOKUP(E483,ui!A$56:B$56,2,FALSE)</f>
        <v>1</v>
      </c>
    </row>
    <row r="484" spans="1:27" hidden="1" x14ac:dyDescent="0.25">
      <c r="A484" t="s">
        <v>12</v>
      </c>
      <c r="B484">
        <f>IF(COUNTIF(dropdown!B$2:B$12,all_inputs!A484)=1,1,IF(COUNTIF(dropdown!C$2:C$4,all_inputs!A484)=1,2,IF(COUNTIF(dropdown!D$2:D$3,all_inputs!A484)=1,3,"?")))</f>
        <v>1</v>
      </c>
      <c r="C484" t="s">
        <v>15</v>
      </c>
      <c r="D484" t="s">
        <v>466</v>
      </c>
      <c r="E484" t="s">
        <v>473</v>
      </c>
      <c r="F484" s="4">
        <f>IF(AND(all_inputs!E484=dropdown!AC$8, COUNTIF(dropdown!AC$9:AC$24,all_inputs!A484)=1), dropdown!X$11, 1)</f>
        <v>1</v>
      </c>
      <c r="G484" s="4">
        <f>ui!B$4</f>
        <v>2025</v>
      </c>
      <c r="H484" s="4">
        <f>ui!B$5</f>
        <v>2050</v>
      </c>
      <c r="I484" s="4" t="s">
        <v>93</v>
      </c>
      <c r="J484" s="4" t="str">
        <f>VLOOKUP(ui!B$2,dropdown!M:O,3,FALSE)</f>
        <v>LIC</v>
      </c>
      <c r="K484" s="4"/>
      <c r="L484" s="4"/>
      <c r="M484" s="4"/>
      <c r="N484" s="4">
        <f>ui!C$56</f>
        <v>10</v>
      </c>
      <c r="O484" s="4"/>
      <c r="P484" s="4"/>
      <c r="Q484" s="4"/>
      <c r="R484" s="4">
        <f>ui!D$56</f>
        <v>30</v>
      </c>
      <c r="S484" s="4"/>
      <c r="T484" s="4"/>
      <c r="U484" s="4"/>
      <c r="V484" s="4"/>
      <c r="W484" s="4"/>
      <c r="X484" s="4"/>
      <c r="Y484" s="4"/>
      <c r="Z484" s="4"/>
      <c r="AA484" t="b">
        <f>VLOOKUP(E484,ui!A$56:B$56,2,FALSE)</f>
        <v>1</v>
      </c>
    </row>
    <row r="485" spans="1:27" hidden="1" x14ac:dyDescent="0.25">
      <c r="A485" t="s">
        <v>12</v>
      </c>
      <c r="B485">
        <f>IF(COUNTIF(dropdown!B$2:B$12,all_inputs!A485)=1,1,IF(COUNTIF(dropdown!C$2:C$4,all_inputs!A485)=1,2,IF(COUNTIF(dropdown!D$2:D$3,all_inputs!A485)=1,3,"?")))</f>
        <v>1</v>
      </c>
      <c r="C485" t="s">
        <v>16</v>
      </c>
      <c r="D485" t="s">
        <v>467</v>
      </c>
      <c r="E485" t="s">
        <v>473</v>
      </c>
      <c r="F485">
        <f>IF(AND(all_inputs!E485=dropdown!AC$8, COUNTIF(dropdown!AC$9:AC$24,all_inputs!A485)=1), dropdown!X$12, 1)</f>
        <v>1</v>
      </c>
      <c r="G485" s="4">
        <f>ui!B$4</f>
        <v>2025</v>
      </c>
      <c r="H485" s="4">
        <f>ui!B$5</f>
        <v>2050</v>
      </c>
      <c r="I485" s="4" t="s">
        <v>93</v>
      </c>
      <c r="J485" s="4" t="str">
        <f>VLOOKUP(ui!B$2,dropdown!M:O,3,FALSE)</f>
        <v>LIC</v>
      </c>
      <c r="K485" s="4"/>
      <c r="L485" s="4"/>
      <c r="M485" s="4"/>
      <c r="N485" s="4">
        <f>ui!C$56</f>
        <v>10</v>
      </c>
      <c r="O485" s="4"/>
      <c r="P485" s="4"/>
      <c r="Q485" s="4"/>
      <c r="R485" s="4">
        <f>ui!D$56</f>
        <v>30</v>
      </c>
      <c r="S485" s="4"/>
      <c r="T485" s="4"/>
      <c r="U485" s="4"/>
      <c r="V485" s="4"/>
      <c r="W485" s="4"/>
      <c r="X485" s="4"/>
      <c r="Y485" s="4"/>
      <c r="Z485" s="4"/>
      <c r="AA485" t="b">
        <f>VLOOKUP(E485,ui!A$56:B$56,2,FALSE)</f>
        <v>1</v>
      </c>
    </row>
    <row r="486" spans="1:27" hidden="1" x14ac:dyDescent="0.25">
      <c r="A486" t="s">
        <v>12</v>
      </c>
      <c r="B486">
        <f>IF(COUNTIF(dropdown!B$2:B$12,all_inputs!A486)=1,1,IF(COUNTIF(dropdown!C$2:C$4,all_inputs!A486)=1,2,IF(COUNTIF(dropdown!D$2:D$3,all_inputs!A486)=1,3,"?")))</f>
        <v>1</v>
      </c>
      <c r="C486" t="s">
        <v>17</v>
      </c>
      <c r="D486" t="s">
        <v>468</v>
      </c>
      <c r="E486" t="s">
        <v>473</v>
      </c>
      <c r="F486">
        <f>IF(AND(all_inputs!E486=dropdown!AC$8, COUNTIF(dropdown!AC$9:AC$24,all_inputs!A486)=1), dropdown!X$13, 1)</f>
        <v>1</v>
      </c>
      <c r="G486" s="4">
        <f>ui!B$4</f>
        <v>2025</v>
      </c>
      <c r="H486" s="4">
        <f>ui!B$5</f>
        <v>2050</v>
      </c>
      <c r="I486" s="4" t="s">
        <v>93</v>
      </c>
      <c r="J486" s="4" t="str">
        <f>VLOOKUP(ui!B$2,dropdown!M:O,3,FALSE)</f>
        <v>LIC</v>
      </c>
      <c r="K486" s="4"/>
      <c r="L486" s="4"/>
      <c r="M486" s="4"/>
      <c r="N486" s="4">
        <f>ui!C$56</f>
        <v>10</v>
      </c>
      <c r="O486" s="4"/>
      <c r="P486" s="4"/>
      <c r="Q486" s="4"/>
      <c r="R486" s="4">
        <f>ui!D$56</f>
        <v>30</v>
      </c>
      <c r="S486" s="4"/>
      <c r="T486" s="4"/>
      <c r="U486" s="4"/>
      <c r="V486" s="4"/>
      <c r="W486" s="4"/>
      <c r="X486" s="4"/>
      <c r="Y486" s="4"/>
      <c r="Z486" s="4"/>
      <c r="AA486" t="b">
        <f>VLOOKUP(E486,ui!A$56:B$56,2,FALSE)</f>
        <v>1</v>
      </c>
    </row>
    <row r="487" spans="1:27" hidden="1" x14ac:dyDescent="0.25">
      <c r="A487" s="2" t="s">
        <v>12</v>
      </c>
      <c r="B487" s="2">
        <f>IF(COUNTIF(dropdown!B$2:B$12,all_inputs!A487)=1,1,IF(COUNTIF(dropdown!C$2:C$4,all_inputs!A487)=1,2,IF(COUNTIF(dropdown!D$2:D$3,all_inputs!A487)=1,3,"?")))</f>
        <v>1</v>
      </c>
      <c r="C487" s="2" t="s">
        <v>18</v>
      </c>
      <c r="D487" s="2" t="s">
        <v>469</v>
      </c>
      <c r="E487" s="2" t="s">
        <v>473</v>
      </c>
      <c r="F487" s="2">
        <f>IF(AND(all_inputs!E487=dropdown!AC$8, COUNTIF(dropdown!AC$9:AC$24,all_inputs!A487)=1), dropdown!X$14, 1)</f>
        <v>1</v>
      </c>
      <c r="G487" s="5">
        <f>ui!B$4</f>
        <v>2025</v>
      </c>
      <c r="H487" s="5">
        <f>ui!B$5</f>
        <v>2050</v>
      </c>
      <c r="I487" s="5" t="s">
        <v>93</v>
      </c>
      <c r="J487" s="5" t="str">
        <f>VLOOKUP(ui!B$2,dropdown!M:O,3,FALSE)</f>
        <v>LIC</v>
      </c>
      <c r="K487" s="5"/>
      <c r="L487" s="5"/>
      <c r="M487" s="5"/>
      <c r="N487" s="5">
        <f>ui!C$56</f>
        <v>10</v>
      </c>
      <c r="O487" s="5"/>
      <c r="P487" s="5"/>
      <c r="Q487" s="5"/>
      <c r="R487" s="5">
        <f>ui!D$56</f>
        <v>30</v>
      </c>
      <c r="S487" s="5"/>
      <c r="T487" s="5"/>
      <c r="U487" s="5"/>
      <c r="V487" s="5"/>
      <c r="W487" s="5"/>
      <c r="X487" s="5"/>
      <c r="Y487" s="5"/>
      <c r="Z487" s="5"/>
      <c r="AA487" s="2" t="b">
        <f>VLOOKUP(E487,ui!A$56:B$56,2,FALSE)</f>
        <v>1</v>
      </c>
    </row>
    <row r="488" spans="1:27" hidden="1" x14ac:dyDescent="0.25">
      <c r="A488" t="s">
        <v>19</v>
      </c>
      <c r="B488">
        <f>IF(COUNTIF(dropdown!B$2:B$12,all_inputs!A488)=1,1,IF(COUNTIF(dropdown!C$2:C$4,all_inputs!A488)=1,2,IF(COUNTIF(dropdown!D$2:D$3,all_inputs!A488)=1,3,"?")))</f>
        <v>2</v>
      </c>
      <c r="C488" t="s">
        <v>13</v>
      </c>
      <c r="D488" t="s">
        <v>472</v>
      </c>
      <c r="E488" t="s">
        <v>473</v>
      </c>
      <c r="F488">
        <f>IF(AND(all_inputs!E488=dropdown!AC$8, COUNTIF(dropdown!AC$9:AC$19,all_inputs!A488)=1), dropdown!X$9, 1)</f>
        <v>1</v>
      </c>
      <c r="G488" s="4">
        <f>ui!B$4</f>
        <v>2025</v>
      </c>
      <c r="H488" s="4">
        <f>ui!B$5</f>
        <v>2050</v>
      </c>
      <c r="I488" s="4" t="s">
        <v>93</v>
      </c>
      <c r="J488" s="4" t="str">
        <f>VLOOKUP(ui!B$2,dropdown!M:O,3,FALSE)</f>
        <v>LIC</v>
      </c>
      <c r="K488" s="4"/>
      <c r="L488" s="4"/>
      <c r="M488" s="4"/>
      <c r="N488" s="4">
        <f>ui!C$56</f>
        <v>10</v>
      </c>
      <c r="O488" s="4"/>
      <c r="P488" s="4"/>
      <c r="Q488" s="4"/>
      <c r="R488" s="4">
        <f>ui!D$56</f>
        <v>30</v>
      </c>
      <c r="S488" s="4"/>
      <c r="T488" s="4"/>
      <c r="U488" s="4"/>
      <c r="V488" s="4"/>
      <c r="W488" s="4"/>
      <c r="X488" s="4"/>
      <c r="Y488" s="4"/>
      <c r="Z488" s="4"/>
      <c r="AA488" t="b">
        <f>VLOOKUP(E488,ui!A$56:B$56,2,FALSE)</f>
        <v>1</v>
      </c>
    </row>
    <row r="489" spans="1:27" hidden="1" x14ac:dyDescent="0.25">
      <c r="A489" t="s">
        <v>19</v>
      </c>
      <c r="B489">
        <f>IF(COUNTIF(dropdown!B$2:B$12,all_inputs!A489)=1,1,IF(COUNTIF(dropdown!C$2:C$4,all_inputs!A489)=1,2,IF(COUNTIF(dropdown!D$2:D$3,all_inputs!A489)=1,3,"?")))</f>
        <v>2</v>
      </c>
      <c r="C489" t="s">
        <v>14</v>
      </c>
      <c r="D489" t="s">
        <v>466</v>
      </c>
      <c r="E489" t="s">
        <v>473</v>
      </c>
      <c r="F489" s="4">
        <f>IF(AND(all_inputs!E489=dropdown!AC$8, COUNTIF(dropdown!AC$9:AC$19,all_inputs!A489)=1), dropdown!X$10, 1)</f>
        <v>1</v>
      </c>
      <c r="G489" s="4">
        <f>ui!B$4</f>
        <v>2025</v>
      </c>
      <c r="H489" s="4">
        <f>ui!B$5</f>
        <v>2050</v>
      </c>
      <c r="I489" s="4" t="s">
        <v>93</v>
      </c>
      <c r="J489" s="4" t="str">
        <f>VLOOKUP(ui!B$2,dropdown!M:O,3,FALSE)</f>
        <v>LIC</v>
      </c>
      <c r="K489" s="4"/>
      <c r="L489" s="4"/>
      <c r="M489" s="4"/>
      <c r="N489" s="4">
        <f>ui!C$56</f>
        <v>10</v>
      </c>
      <c r="O489" s="4"/>
      <c r="P489" s="4"/>
      <c r="Q489" s="4"/>
      <c r="R489" s="4">
        <f>ui!D$56</f>
        <v>30</v>
      </c>
      <c r="S489" s="4"/>
      <c r="T489" s="4"/>
      <c r="U489" s="4"/>
      <c r="V489" s="4"/>
      <c r="W489" s="4"/>
      <c r="X489" s="4"/>
      <c r="Y489" s="4"/>
      <c r="Z489" s="4"/>
      <c r="AA489" t="b">
        <f>VLOOKUP(E489,ui!A$56:B$56,2,FALSE)</f>
        <v>1</v>
      </c>
    </row>
    <row r="490" spans="1:27" hidden="1" x14ac:dyDescent="0.25">
      <c r="A490" t="s">
        <v>19</v>
      </c>
      <c r="B490">
        <f>IF(COUNTIF(dropdown!B$2:B$12,all_inputs!A490)=1,1,IF(COUNTIF(dropdown!C$2:C$4,all_inputs!A490)=1,2,IF(COUNTIF(dropdown!D$2:D$3,all_inputs!A490)=1,3,"?")))</f>
        <v>2</v>
      </c>
      <c r="C490" t="s">
        <v>15</v>
      </c>
      <c r="D490" t="s">
        <v>466</v>
      </c>
      <c r="E490" t="s">
        <v>473</v>
      </c>
      <c r="F490">
        <f>IF(AND(all_inputs!E490=dropdown!AC$8, COUNTIF(dropdown!AC$9:AC$19,all_inputs!A490)=1), dropdown!X$11, 1)</f>
        <v>1</v>
      </c>
      <c r="G490" s="4">
        <f>ui!B$4</f>
        <v>2025</v>
      </c>
      <c r="H490" s="4">
        <f>ui!B$5</f>
        <v>2050</v>
      </c>
      <c r="I490" s="4" t="s">
        <v>93</v>
      </c>
      <c r="J490" s="4" t="str">
        <f>VLOOKUP(ui!B$2,dropdown!M:O,3,FALSE)</f>
        <v>LIC</v>
      </c>
      <c r="K490" s="4"/>
      <c r="L490" s="4"/>
      <c r="M490" s="4"/>
      <c r="N490" s="4">
        <f>ui!C$56</f>
        <v>10</v>
      </c>
      <c r="O490" s="4"/>
      <c r="P490" s="4"/>
      <c r="Q490" s="4"/>
      <c r="R490" s="4">
        <f>ui!D$56</f>
        <v>30</v>
      </c>
      <c r="S490" s="4"/>
      <c r="T490" s="4"/>
      <c r="U490" s="4"/>
      <c r="V490" s="4"/>
      <c r="W490" s="4"/>
      <c r="X490" s="4"/>
      <c r="Y490" s="4"/>
      <c r="Z490" s="4"/>
      <c r="AA490" t="b">
        <f>VLOOKUP(E490,ui!A$56:B$56,2,FALSE)</f>
        <v>1</v>
      </c>
    </row>
    <row r="491" spans="1:27" hidden="1" x14ac:dyDescent="0.25">
      <c r="A491" t="s">
        <v>19</v>
      </c>
      <c r="B491">
        <f>IF(COUNTIF(dropdown!B$2:B$12,all_inputs!A491)=1,1,IF(COUNTIF(dropdown!C$2:C$4,all_inputs!A491)=1,2,IF(COUNTIF(dropdown!D$2:D$3,all_inputs!A491)=1,3,"?")))</f>
        <v>2</v>
      </c>
      <c r="C491" t="s">
        <v>16</v>
      </c>
      <c r="D491" t="s">
        <v>467</v>
      </c>
      <c r="E491" t="s">
        <v>473</v>
      </c>
      <c r="F491">
        <f>IF(AND(all_inputs!E491=dropdown!AC$8, COUNTIF(dropdown!AC$9:AC$19,all_inputs!A491)=1), dropdown!X$12, 1)</f>
        <v>1</v>
      </c>
      <c r="G491" s="4">
        <f>ui!B$4</f>
        <v>2025</v>
      </c>
      <c r="H491" s="4">
        <f>ui!B$5</f>
        <v>2050</v>
      </c>
      <c r="I491" s="4" t="s">
        <v>93</v>
      </c>
      <c r="J491" s="4" t="str">
        <f>VLOOKUP(ui!B$2,dropdown!M:O,3,FALSE)</f>
        <v>LIC</v>
      </c>
      <c r="K491" s="4"/>
      <c r="L491" s="4"/>
      <c r="M491" s="4"/>
      <c r="N491" s="4">
        <f>ui!C$56</f>
        <v>10</v>
      </c>
      <c r="O491" s="4"/>
      <c r="P491" s="4"/>
      <c r="Q491" s="4"/>
      <c r="R491" s="4">
        <f>ui!D$56</f>
        <v>30</v>
      </c>
      <c r="S491" s="4"/>
      <c r="T491" s="4"/>
      <c r="U491" s="4"/>
      <c r="V491" s="4"/>
      <c r="W491" s="4"/>
      <c r="X491" s="4"/>
      <c r="Y491" s="4"/>
      <c r="Z491" s="4"/>
      <c r="AA491" t="b">
        <f>VLOOKUP(E491,ui!A$56:B$56,2,FALSE)</f>
        <v>1</v>
      </c>
    </row>
    <row r="492" spans="1:27" hidden="1" x14ac:dyDescent="0.25">
      <c r="A492" t="s">
        <v>19</v>
      </c>
      <c r="B492">
        <f>IF(COUNTIF(dropdown!B$2:B$12,all_inputs!A492)=1,1,IF(COUNTIF(dropdown!C$2:C$4,all_inputs!A492)=1,2,IF(COUNTIF(dropdown!D$2:D$3,all_inputs!A492)=1,3,"?")))</f>
        <v>2</v>
      </c>
      <c r="C492" t="s">
        <v>17</v>
      </c>
      <c r="D492" t="s">
        <v>468</v>
      </c>
      <c r="E492" t="s">
        <v>473</v>
      </c>
      <c r="F492">
        <f>IF(AND(all_inputs!E492=dropdown!AC$8, COUNTIF(dropdown!AC$9:AC$19,all_inputs!A492)=1), dropdown!X$13, 1)</f>
        <v>1</v>
      </c>
      <c r="G492" s="4">
        <f>ui!B$4</f>
        <v>2025</v>
      </c>
      <c r="H492" s="4">
        <f>ui!B$5</f>
        <v>2050</v>
      </c>
      <c r="I492" s="4" t="s">
        <v>93</v>
      </c>
      <c r="J492" s="4" t="str">
        <f>VLOOKUP(ui!B$2,dropdown!M:O,3,FALSE)</f>
        <v>LIC</v>
      </c>
      <c r="K492" s="4"/>
      <c r="L492" s="4"/>
      <c r="M492" s="4"/>
      <c r="N492" s="4">
        <f>ui!C$56</f>
        <v>10</v>
      </c>
      <c r="O492" s="4"/>
      <c r="P492" s="4"/>
      <c r="Q492" s="4"/>
      <c r="R492" s="4">
        <f>ui!D$56</f>
        <v>30</v>
      </c>
      <c r="S492" s="4"/>
      <c r="T492" s="4"/>
      <c r="U492" s="4"/>
      <c r="V492" s="4"/>
      <c r="W492" s="4"/>
      <c r="X492" s="4"/>
      <c r="Y492" s="4"/>
      <c r="Z492" s="4"/>
      <c r="AA492" t="b">
        <f>VLOOKUP(E492,ui!A$56:B$56,2,FALSE)</f>
        <v>1</v>
      </c>
    </row>
    <row r="493" spans="1:27" hidden="1" x14ac:dyDescent="0.25">
      <c r="A493" s="2" t="s">
        <v>19</v>
      </c>
      <c r="B493" s="2">
        <f>IF(COUNTIF(dropdown!B$2:B$12,all_inputs!A493)=1,1,IF(COUNTIF(dropdown!C$2:C$4,all_inputs!A493)=1,2,IF(COUNTIF(dropdown!D$2:D$3,all_inputs!A493)=1,3,"?")))</f>
        <v>2</v>
      </c>
      <c r="C493" s="2" t="s">
        <v>18</v>
      </c>
      <c r="D493" s="2" t="s">
        <v>469</v>
      </c>
      <c r="E493" s="2" t="s">
        <v>473</v>
      </c>
      <c r="F493" s="2">
        <f>IF(AND(all_inputs!E493=dropdown!AC$8, COUNTIF(dropdown!AC$9:AC$19,all_inputs!A493)=1), dropdown!X$14, 1)</f>
        <v>1</v>
      </c>
      <c r="G493" s="5">
        <f>ui!B$4</f>
        <v>2025</v>
      </c>
      <c r="H493" s="5">
        <f>ui!B$5</f>
        <v>2050</v>
      </c>
      <c r="I493" s="5" t="s">
        <v>93</v>
      </c>
      <c r="J493" s="5" t="str">
        <f>VLOOKUP(ui!B$2,dropdown!M:O,3,FALSE)</f>
        <v>LIC</v>
      </c>
      <c r="K493" s="5"/>
      <c r="L493" s="5"/>
      <c r="M493" s="5"/>
      <c r="N493" s="5">
        <f>ui!C$56</f>
        <v>10</v>
      </c>
      <c r="O493" s="5"/>
      <c r="P493" s="5"/>
      <c r="Q493" s="5"/>
      <c r="R493" s="5">
        <f>ui!D$56</f>
        <v>30</v>
      </c>
      <c r="S493" s="5"/>
      <c r="T493" s="5"/>
      <c r="U493" s="5"/>
      <c r="V493" s="5"/>
      <c r="W493" s="5"/>
      <c r="X493" s="5"/>
      <c r="Y493" s="5"/>
      <c r="Z493" s="5"/>
      <c r="AA493" s="2" t="b">
        <f>VLOOKUP(E493,ui!A$56:B$56,2,FALSE)</f>
        <v>1</v>
      </c>
    </row>
    <row r="494" spans="1:27" hidden="1" x14ac:dyDescent="0.25">
      <c r="A494" t="s">
        <v>20</v>
      </c>
      <c r="B494">
        <f>IF(COUNTIF(dropdown!B$2:B$12,all_inputs!A494)=1,1,IF(COUNTIF(dropdown!C$2:C$4,all_inputs!A494)=1,2,IF(COUNTIF(dropdown!D$2:D$3,all_inputs!A494)=1,3,"?")))</f>
        <v>3</v>
      </c>
      <c r="C494" t="s">
        <v>13</v>
      </c>
      <c r="D494" t="s">
        <v>472</v>
      </c>
      <c r="E494" t="s">
        <v>473</v>
      </c>
      <c r="F494">
        <f>IF(AND(all_inputs!E494=dropdown!AC$8, COUNTIF(dropdown!AC$9:AC$19,all_inputs!A494)=1), dropdown!X$9, 1)</f>
        <v>1</v>
      </c>
      <c r="G494" s="4">
        <f>ui!B$4</f>
        <v>2025</v>
      </c>
      <c r="H494" s="4">
        <f>ui!B$5</f>
        <v>2050</v>
      </c>
      <c r="I494" s="4" t="s">
        <v>93</v>
      </c>
      <c r="J494" s="4" t="str">
        <f>VLOOKUP(ui!B$2,dropdown!M:O,3,FALSE)</f>
        <v>LIC</v>
      </c>
      <c r="K494" s="4"/>
      <c r="L494" s="4"/>
      <c r="M494" s="4"/>
      <c r="N494" s="4">
        <f>ui!C$56</f>
        <v>10</v>
      </c>
      <c r="O494" s="4"/>
      <c r="P494" s="4"/>
      <c r="Q494" s="4"/>
      <c r="R494" s="4">
        <f>ui!D$56</f>
        <v>30</v>
      </c>
      <c r="S494" s="4"/>
      <c r="T494" s="4"/>
      <c r="U494" s="4"/>
      <c r="V494" s="4"/>
      <c r="W494" s="4"/>
      <c r="X494" s="4"/>
      <c r="Y494" s="4"/>
      <c r="Z494" s="4"/>
      <c r="AA494" t="b">
        <f>VLOOKUP(E494,ui!A$56:B$56,2,FALSE)</f>
        <v>1</v>
      </c>
    </row>
    <row r="495" spans="1:27" hidden="1" x14ac:dyDescent="0.25">
      <c r="A495" t="s">
        <v>20</v>
      </c>
      <c r="B495">
        <f>IF(COUNTIF(dropdown!B$2:B$12,all_inputs!A495)=1,1,IF(COUNTIF(dropdown!C$2:C$4,all_inputs!A495)=1,2,IF(COUNTIF(dropdown!D$2:D$3,all_inputs!A495)=1,3,"?")))</f>
        <v>3</v>
      </c>
      <c r="C495" t="s">
        <v>14</v>
      </c>
      <c r="D495" t="s">
        <v>466</v>
      </c>
      <c r="E495" t="s">
        <v>473</v>
      </c>
      <c r="F495" s="4">
        <f>IF(AND(all_inputs!E495=dropdown!AC$8, COUNTIF(dropdown!AC$9:AC$19,all_inputs!A495)=1), dropdown!X$10, 1)</f>
        <v>1</v>
      </c>
      <c r="G495" s="4">
        <f>ui!B$4</f>
        <v>2025</v>
      </c>
      <c r="H495" s="4">
        <f>ui!B$5</f>
        <v>2050</v>
      </c>
      <c r="I495" s="4" t="s">
        <v>93</v>
      </c>
      <c r="J495" s="4" t="str">
        <f>VLOOKUP(ui!B$2,dropdown!M:O,3,FALSE)</f>
        <v>LIC</v>
      </c>
      <c r="K495" s="4"/>
      <c r="L495" s="4"/>
      <c r="M495" s="4"/>
      <c r="N495" s="4">
        <f>ui!C$56</f>
        <v>10</v>
      </c>
      <c r="O495" s="4"/>
      <c r="P495" s="4"/>
      <c r="Q495" s="4"/>
      <c r="R495" s="4">
        <f>ui!D$56</f>
        <v>30</v>
      </c>
      <c r="S495" s="4"/>
      <c r="T495" s="4"/>
      <c r="U495" s="4"/>
      <c r="V495" s="4"/>
      <c r="W495" s="4"/>
      <c r="X495" s="4"/>
      <c r="Y495" s="4"/>
      <c r="Z495" s="4"/>
      <c r="AA495" t="b">
        <f>VLOOKUP(E495,ui!A$56:B$56,2,FALSE)</f>
        <v>1</v>
      </c>
    </row>
    <row r="496" spans="1:27" hidden="1" x14ac:dyDescent="0.25">
      <c r="A496" t="s">
        <v>20</v>
      </c>
      <c r="B496">
        <f>IF(COUNTIF(dropdown!B$2:B$12,all_inputs!A496)=1,1,IF(COUNTIF(dropdown!C$2:C$4,all_inputs!A496)=1,2,IF(COUNTIF(dropdown!D$2:D$3,all_inputs!A496)=1,3,"?")))</f>
        <v>3</v>
      </c>
      <c r="C496" t="s">
        <v>15</v>
      </c>
      <c r="D496" t="s">
        <v>466</v>
      </c>
      <c r="E496" t="s">
        <v>473</v>
      </c>
      <c r="F496">
        <f>IF(AND(all_inputs!E496=dropdown!AC$8, COUNTIF(dropdown!AC$9:AC$19,all_inputs!A496)=1), dropdown!X$11, 1)</f>
        <v>1</v>
      </c>
      <c r="G496" s="4">
        <f>ui!B$4</f>
        <v>2025</v>
      </c>
      <c r="H496" s="4">
        <f>ui!B$5</f>
        <v>2050</v>
      </c>
      <c r="I496" s="4" t="s">
        <v>93</v>
      </c>
      <c r="J496" s="4" t="str">
        <f>VLOOKUP(ui!B$2,dropdown!M:O,3,FALSE)</f>
        <v>LIC</v>
      </c>
      <c r="K496" s="4"/>
      <c r="L496" s="4"/>
      <c r="M496" s="4"/>
      <c r="N496" s="4">
        <f>ui!C$56</f>
        <v>10</v>
      </c>
      <c r="O496" s="4"/>
      <c r="P496" s="4"/>
      <c r="Q496" s="4"/>
      <c r="R496" s="4">
        <f>ui!D$56</f>
        <v>30</v>
      </c>
      <c r="S496" s="4"/>
      <c r="T496" s="4"/>
      <c r="U496" s="4"/>
      <c r="V496" s="4"/>
      <c r="W496" s="4"/>
      <c r="X496" s="4"/>
      <c r="Y496" s="4"/>
      <c r="Z496" s="4"/>
      <c r="AA496" t="b">
        <f>VLOOKUP(E496,ui!A$56:B$56,2,FALSE)</f>
        <v>1</v>
      </c>
    </row>
    <row r="497" spans="1:27" hidden="1" x14ac:dyDescent="0.25">
      <c r="A497" t="s">
        <v>20</v>
      </c>
      <c r="B497">
        <f>IF(COUNTIF(dropdown!B$2:B$12,all_inputs!A497)=1,1,IF(COUNTIF(dropdown!C$2:C$4,all_inputs!A497)=1,2,IF(COUNTIF(dropdown!D$2:D$3,all_inputs!A497)=1,3,"?")))</f>
        <v>3</v>
      </c>
      <c r="C497" t="s">
        <v>16</v>
      </c>
      <c r="D497" t="s">
        <v>467</v>
      </c>
      <c r="E497" t="s">
        <v>473</v>
      </c>
      <c r="F497">
        <f>IF(AND(all_inputs!E497=dropdown!AC$8, COUNTIF(dropdown!AC$9:AC$19,all_inputs!A497)=1), dropdown!X$12, 1)</f>
        <v>1</v>
      </c>
      <c r="G497" s="4">
        <f>ui!B$4</f>
        <v>2025</v>
      </c>
      <c r="H497" s="4">
        <f>ui!B$5</f>
        <v>2050</v>
      </c>
      <c r="I497" s="4" t="s">
        <v>93</v>
      </c>
      <c r="J497" s="4" t="str">
        <f>VLOOKUP(ui!B$2,dropdown!M:O,3,FALSE)</f>
        <v>LIC</v>
      </c>
      <c r="K497" s="4"/>
      <c r="L497" s="4"/>
      <c r="M497" s="4"/>
      <c r="N497" s="4">
        <f>ui!C$56</f>
        <v>10</v>
      </c>
      <c r="O497" s="4"/>
      <c r="P497" s="4"/>
      <c r="Q497" s="4"/>
      <c r="R497" s="4">
        <f>ui!D$56</f>
        <v>30</v>
      </c>
      <c r="S497" s="4"/>
      <c r="T497" s="4"/>
      <c r="U497" s="4"/>
      <c r="V497" s="4"/>
      <c r="W497" s="4"/>
      <c r="X497" s="4"/>
      <c r="Y497" s="4"/>
      <c r="Z497" s="4"/>
      <c r="AA497" t="b">
        <f>VLOOKUP(E497,ui!A$56:B$56,2,FALSE)</f>
        <v>1</v>
      </c>
    </row>
    <row r="498" spans="1:27" hidden="1" x14ac:dyDescent="0.25">
      <c r="A498" t="s">
        <v>20</v>
      </c>
      <c r="B498">
        <f>IF(COUNTIF(dropdown!B$2:B$12,all_inputs!A498)=1,1,IF(COUNTIF(dropdown!C$2:C$4,all_inputs!A498)=1,2,IF(COUNTIF(dropdown!D$2:D$3,all_inputs!A498)=1,3,"?")))</f>
        <v>3</v>
      </c>
      <c r="C498" t="s">
        <v>17</v>
      </c>
      <c r="D498" t="s">
        <v>468</v>
      </c>
      <c r="E498" t="s">
        <v>473</v>
      </c>
      <c r="F498">
        <f>IF(AND(all_inputs!E498=dropdown!AC$8, COUNTIF(dropdown!AC$9:AC$19,all_inputs!A498)=1), dropdown!X$13, 1)</f>
        <v>1</v>
      </c>
      <c r="G498" s="4">
        <f>ui!B$4</f>
        <v>2025</v>
      </c>
      <c r="H498" s="4">
        <f>ui!B$5</f>
        <v>2050</v>
      </c>
      <c r="I498" s="4" t="s">
        <v>93</v>
      </c>
      <c r="J498" s="4" t="str">
        <f>VLOOKUP(ui!B$2,dropdown!M:O,3,FALSE)</f>
        <v>LIC</v>
      </c>
      <c r="K498" s="4"/>
      <c r="L498" s="4"/>
      <c r="M498" s="4"/>
      <c r="N498" s="4">
        <f>ui!C$56</f>
        <v>10</v>
      </c>
      <c r="O498" s="4"/>
      <c r="P498" s="4"/>
      <c r="Q498" s="4"/>
      <c r="R498" s="4">
        <f>ui!D$56</f>
        <v>30</v>
      </c>
      <c r="S498" s="4"/>
      <c r="T498" s="4"/>
      <c r="U498" s="4"/>
      <c r="V498" s="4"/>
      <c r="W498" s="4"/>
      <c r="X498" s="4"/>
      <c r="Y498" s="4"/>
      <c r="Z498" s="4"/>
      <c r="AA498" t="b">
        <f>VLOOKUP(E498,ui!A$56:B$56,2,FALSE)</f>
        <v>1</v>
      </c>
    </row>
    <row r="499" spans="1:27" hidden="1" x14ac:dyDescent="0.25">
      <c r="A499" s="2" t="s">
        <v>20</v>
      </c>
      <c r="B499" s="2">
        <f>IF(COUNTIF(dropdown!B$2:B$12,all_inputs!A499)=1,1,IF(COUNTIF(dropdown!C$2:C$4,all_inputs!A499)=1,2,IF(COUNTIF(dropdown!D$2:D$3,all_inputs!A499)=1,3,"?")))</f>
        <v>3</v>
      </c>
      <c r="C499" s="2" t="s">
        <v>18</v>
      </c>
      <c r="D499" s="2" t="s">
        <v>469</v>
      </c>
      <c r="E499" s="2" t="s">
        <v>473</v>
      </c>
      <c r="F499" s="2">
        <f>IF(AND(all_inputs!E499=dropdown!AC$8, COUNTIF(dropdown!AC$9:AC$19,all_inputs!A499)=1), dropdown!X$14, 1)</f>
        <v>1</v>
      </c>
      <c r="G499" s="5">
        <f>ui!B$4</f>
        <v>2025</v>
      </c>
      <c r="H499" s="5">
        <f>ui!B$5</f>
        <v>2050</v>
      </c>
      <c r="I499" s="5" t="s">
        <v>93</v>
      </c>
      <c r="J499" s="5" t="str">
        <f>VLOOKUP(ui!B$2,dropdown!M:O,3,FALSE)</f>
        <v>LIC</v>
      </c>
      <c r="K499" s="5"/>
      <c r="L499" s="5"/>
      <c r="M499" s="5"/>
      <c r="N499" s="5">
        <f>ui!C$56</f>
        <v>10</v>
      </c>
      <c r="O499" s="5"/>
      <c r="P499" s="5"/>
      <c r="Q499" s="5"/>
      <c r="R499" s="5">
        <f>ui!D$56</f>
        <v>30</v>
      </c>
      <c r="S499" s="5"/>
      <c r="T499" s="5"/>
      <c r="U499" s="5"/>
      <c r="V499" s="5"/>
      <c r="W499" s="5"/>
      <c r="X499" s="5"/>
      <c r="Y499" s="5"/>
      <c r="Z499" s="5"/>
      <c r="AA499" s="2" t="b">
        <f>VLOOKUP(E499,ui!A$56:B$56,2,FALSE)</f>
        <v>1</v>
      </c>
    </row>
    <row r="500" spans="1:27" hidden="1" x14ac:dyDescent="0.25">
      <c r="A500" t="s">
        <v>21</v>
      </c>
      <c r="B500">
        <f>IF(COUNTIF(dropdown!B$2:B$12,all_inputs!A500)=1,1,IF(COUNTIF(dropdown!C$2:C$4,all_inputs!A500)=1,2,IF(COUNTIF(dropdown!D$2:D$3,all_inputs!A500)=1,3,"?")))</f>
        <v>3</v>
      </c>
      <c r="C500" t="s">
        <v>13</v>
      </c>
      <c r="D500" t="s">
        <v>472</v>
      </c>
      <c r="E500" t="s">
        <v>473</v>
      </c>
      <c r="F500">
        <f>IF(AND(all_inputs!E500=dropdown!AC$8, COUNTIF(dropdown!AC$9:AC$19,all_inputs!A500)=1), dropdown!X$9, 1)</f>
        <v>1</v>
      </c>
      <c r="G500" s="4">
        <f>ui!B$4</f>
        <v>2025</v>
      </c>
      <c r="H500" s="4">
        <f>ui!B$5</f>
        <v>2050</v>
      </c>
      <c r="I500" s="4" t="s">
        <v>93</v>
      </c>
      <c r="J500" s="4" t="str">
        <f>VLOOKUP(ui!B$2,dropdown!M:O,3,FALSE)</f>
        <v>LIC</v>
      </c>
      <c r="K500" s="4"/>
      <c r="L500" s="4"/>
      <c r="M500" s="4"/>
      <c r="N500" s="4">
        <f>ui!C$56</f>
        <v>10</v>
      </c>
      <c r="O500" s="4"/>
      <c r="P500" s="4"/>
      <c r="Q500" s="4"/>
      <c r="R500" s="4">
        <f>ui!D$56</f>
        <v>30</v>
      </c>
      <c r="S500" s="4"/>
      <c r="T500" s="4"/>
      <c r="U500" s="4"/>
      <c r="V500" s="4"/>
      <c r="W500" s="4"/>
      <c r="X500" s="4"/>
      <c r="Y500" s="4"/>
      <c r="Z500" s="4"/>
      <c r="AA500" t="b">
        <f>VLOOKUP(E500,ui!A$56:B$56,2,FALSE)</f>
        <v>1</v>
      </c>
    </row>
    <row r="501" spans="1:27" hidden="1" x14ac:dyDescent="0.25">
      <c r="A501" t="s">
        <v>21</v>
      </c>
      <c r="B501">
        <f>IF(COUNTIF(dropdown!B$2:B$12,all_inputs!A501)=1,1,IF(COUNTIF(dropdown!C$2:C$4,all_inputs!A501)=1,2,IF(COUNTIF(dropdown!D$2:D$3,all_inputs!A501)=1,3,"?")))</f>
        <v>3</v>
      </c>
      <c r="C501" t="s">
        <v>14</v>
      </c>
      <c r="D501" t="s">
        <v>466</v>
      </c>
      <c r="E501" t="s">
        <v>473</v>
      </c>
      <c r="F501" s="4">
        <f>IF(AND(all_inputs!E501=dropdown!AC$8, COUNTIF(dropdown!AC$9:AC$19,all_inputs!A501)=1), dropdown!X$10, 1)</f>
        <v>1</v>
      </c>
      <c r="G501" s="4">
        <f>ui!B$4</f>
        <v>2025</v>
      </c>
      <c r="H501" s="4">
        <f>ui!B$5</f>
        <v>2050</v>
      </c>
      <c r="I501" s="4" t="s">
        <v>93</v>
      </c>
      <c r="J501" s="4" t="str">
        <f>VLOOKUP(ui!B$2,dropdown!M:O,3,FALSE)</f>
        <v>LIC</v>
      </c>
      <c r="K501" s="4"/>
      <c r="L501" s="4"/>
      <c r="M501" s="4"/>
      <c r="N501" s="4">
        <f>ui!C$56</f>
        <v>10</v>
      </c>
      <c r="O501" s="4"/>
      <c r="P501" s="4"/>
      <c r="Q501" s="4"/>
      <c r="R501" s="4">
        <f>ui!D$56</f>
        <v>30</v>
      </c>
      <c r="S501" s="4"/>
      <c r="T501" s="4"/>
      <c r="U501" s="4"/>
      <c r="V501" s="4"/>
      <c r="W501" s="4"/>
      <c r="X501" s="4"/>
      <c r="Y501" s="4"/>
      <c r="Z501" s="4"/>
      <c r="AA501" t="b">
        <f>VLOOKUP(E501,ui!A$56:B$56,2,FALSE)</f>
        <v>1</v>
      </c>
    </row>
    <row r="502" spans="1:27" hidden="1" x14ac:dyDescent="0.25">
      <c r="A502" t="s">
        <v>21</v>
      </c>
      <c r="B502">
        <f>IF(COUNTIF(dropdown!B$2:B$12,all_inputs!A502)=1,1,IF(COUNTIF(dropdown!C$2:C$4,all_inputs!A502)=1,2,IF(COUNTIF(dropdown!D$2:D$3,all_inputs!A502)=1,3,"?")))</f>
        <v>3</v>
      </c>
      <c r="C502" t="s">
        <v>15</v>
      </c>
      <c r="D502" t="s">
        <v>466</v>
      </c>
      <c r="E502" t="s">
        <v>473</v>
      </c>
      <c r="F502">
        <f>IF(AND(all_inputs!E502=dropdown!AC$8, COUNTIF(dropdown!AC$9:AC$19,all_inputs!A502)=1), dropdown!X$11, 1)</f>
        <v>1</v>
      </c>
      <c r="G502" s="4">
        <f>ui!B$4</f>
        <v>2025</v>
      </c>
      <c r="H502" s="4">
        <f>ui!B$5</f>
        <v>2050</v>
      </c>
      <c r="I502" s="4" t="s">
        <v>93</v>
      </c>
      <c r="J502" s="4" t="str">
        <f>VLOOKUP(ui!B$2,dropdown!M:O,3,FALSE)</f>
        <v>LIC</v>
      </c>
      <c r="K502" s="4"/>
      <c r="L502" s="4"/>
      <c r="M502" s="4"/>
      <c r="N502" s="4">
        <f>ui!C$56</f>
        <v>10</v>
      </c>
      <c r="O502" s="4"/>
      <c r="P502" s="4"/>
      <c r="Q502" s="4"/>
      <c r="R502" s="4">
        <f>ui!D$56</f>
        <v>30</v>
      </c>
      <c r="S502" s="4"/>
      <c r="T502" s="4"/>
      <c r="U502" s="4"/>
      <c r="V502" s="4"/>
      <c r="W502" s="4"/>
      <c r="X502" s="4"/>
      <c r="Y502" s="4"/>
      <c r="Z502" s="4"/>
      <c r="AA502" t="b">
        <f>VLOOKUP(E502,ui!A$56:B$56,2,FALSE)</f>
        <v>1</v>
      </c>
    </row>
    <row r="503" spans="1:27" hidden="1" x14ac:dyDescent="0.25">
      <c r="A503" t="s">
        <v>21</v>
      </c>
      <c r="B503">
        <f>IF(COUNTIF(dropdown!B$2:B$12,all_inputs!A503)=1,1,IF(COUNTIF(dropdown!C$2:C$4,all_inputs!A503)=1,2,IF(COUNTIF(dropdown!D$2:D$3,all_inputs!A503)=1,3,"?")))</f>
        <v>3</v>
      </c>
      <c r="C503" t="s">
        <v>16</v>
      </c>
      <c r="D503" t="s">
        <v>467</v>
      </c>
      <c r="E503" t="s">
        <v>473</v>
      </c>
      <c r="F503">
        <f>IF(AND(all_inputs!E503=dropdown!AC$8, COUNTIF(dropdown!AC$9:AC$19,all_inputs!A503)=1), dropdown!X$12, 1)</f>
        <v>1</v>
      </c>
      <c r="G503" s="4">
        <f>ui!B$4</f>
        <v>2025</v>
      </c>
      <c r="H503" s="4">
        <f>ui!B$5</f>
        <v>2050</v>
      </c>
      <c r="I503" s="4" t="s">
        <v>93</v>
      </c>
      <c r="J503" s="4" t="str">
        <f>VLOOKUP(ui!B$2,dropdown!M:O,3,FALSE)</f>
        <v>LIC</v>
      </c>
      <c r="K503" s="4"/>
      <c r="L503" s="4"/>
      <c r="M503" s="4"/>
      <c r="N503" s="4">
        <f>ui!C$56</f>
        <v>10</v>
      </c>
      <c r="O503" s="4"/>
      <c r="P503" s="4"/>
      <c r="Q503" s="4"/>
      <c r="R503" s="4">
        <f>ui!D$56</f>
        <v>30</v>
      </c>
      <c r="S503" s="4"/>
      <c r="T503" s="4"/>
      <c r="U503" s="4"/>
      <c r="V503" s="4"/>
      <c r="W503" s="4"/>
      <c r="X503" s="4"/>
      <c r="Y503" s="4"/>
      <c r="Z503" s="4"/>
      <c r="AA503" t="b">
        <f>VLOOKUP(E503,ui!A$56:B$56,2,FALSE)</f>
        <v>1</v>
      </c>
    </row>
    <row r="504" spans="1:27" hidden="1" x14ac:dyDescent="0.25">
      <c r="A504" t="s">
        <v>21</v>
      </c>
      <c r="B504">
        <f>IF(COUNTIF(dropdown!B$2:B$12,all_inputs!A504)=1,1,IF(COUNTIF(dropdown!C$2:C$4,all_inputs!A504)=1,2,IF(COUNTIF(dropdown!D$2:D$3,all_inputs!A504)=1,3,"?")))</f>
        <v>3</v>
      </c>
      <c r="C504" t="s">
        <v>17</v>
      </c>
      <c r="D504" t="s">
        <v>468</v>
      </c>
      <c r="E504" t="s">
        <v>473</v>
      </c>
      <c r="F504">
        <f>IF(AND(all_inputs!E504=dropdown!AC$8, COUNTIF(dropdown!AC$9:AC$19,all_inputs!A504)=1), dropdown!X$13, 1)</f>
        <v>1</v>
      </c>
      <c r="G504" s="4">
        <f>ui!B$4</f>
        <v>2025</v>
      </c>
      <c r="H504" s="4">
        <f>ui!B$5</f>
        <v>2050</v>
      </c>
      <c r="I504" s="4" t="s">
        <v>93</v>
      </c>
      <c r="J504" s="4" t="str">
        <f>VLOOKUP(ui!B$2,dropdown!M:O,3,FALSE)</f>
        <v>LIC</v>
      </c>
      <c r="K504" s="4"/>
      <c r="L504" s="4"/>
      <c r="M504" s="4"/>
      <c r="N504" s="4">
        <f>ui!C$56</f>
        <v>10</v>
      </c>
      <c r="O504" s="4"/>
      <c r="P504" s="4"/>
      <c r="Q504" s="4"/>
      <c r="R504" s="4">
        <f>ui!D$56</f>
        <v>30</v>
      </c>
      <c r="S504" s="4"/>
      <c r="T504" s="4"/>
      <c r="U504" s="4"/>
      <c r="V504" s="4"/>
      <c r="W504" s="4"/>
      <c r="X504" s="4"/>
      <c r="Y504" s="4"/>
      <c r="Z504" s="4"/>
      <c r="AA504" t="b">
        <f>VLOOKUP(E504,ui!A$56:B$56,2,FALSE)</f>
        <v>1</v>
      </c>
    </row>
    <row r="505" spans="1:27" hidden="1" x14ac:dyDescent="0.25">
      <c r="A505" s="2" t="s">
        <v>21</v>
      </c>
      <c r="B505" s="2">
        <f>IF(COUNTIF(dropdown!B$2:B$12,all_inputs!A505)=1,1,IF(COUNTIF(dropdown!C$2:C$4,all_inputs!A505)=1,2,IF(COUNTIF(dropdown!D$2:D$3,all_inputs!A505)=1,3,"?")))</f>
        <v>3</v>
      </c>
      <c r="C505" s="2" t="s">
        <v>18</v>
      </c>
      <c r="D505" s="2" t="s">
        <v>469</v>
      </c>
      <c r="E505" s="2" t="s">
        <v>473</v>
      </c>
      <c r="F505" s="2">
        <f>IF(AND(all_inputs!E505=dropdown!AC$8, COUNTIF(dropdown!AC$9:AC$19,all_inputs!A505)=1), dropdown!X$14, 1)</f>
        <v>1</v>
      </c>
      <c r="G505" s="5">
        <f>ui!B$4</f>
        <v>2025</v>
      </c>
      <c r="H505" s="5">
        <f>ui!B$5</f>
        <v>2050</v>
      </c>
      <c r="I505" s="5" t="s">
        <v>93</v>
      </c>
      <c r="J505" s="5" t="str">
        <f>VLOOKUP(ui!B$2,dropdown!M:O,3,FALSE)</f>
        <v>LIC</v>
      </c>
      <c r="K505" s="5"/>
      <c r="L505" s="5"/>
      <c r="M505" s="5"/>
      <c r="N505" s="5">
        <f>ui!C$56</f>
        <v>10</v>
      </c>
      <c r="O505" s="5"/>
      <c r="P505" s="5"/>
      <c r="Q505" s="5"/>
      <c r="R505" s="5">
        <f>ui!D$56</f>
        <v>30</v>
      </c>
      <c r="S505" s="5"/>
      <c r="T505" s="5"/>
      <c r="U505" s="5"/>
      <c r="V505" s="5"/>
      <c r="W505" s="5"/>
      <c r="X505" s="5"/>
      <c r="Y505" s="5"/>
      <c r="Z505" s="5"/>
      <c r="AA505" s="2" t="b">
        <f>VLOOKUP(E505,ui!A$56:B$56,2,FALSE)</f>
        <v>1</v>
      </c>
    </row>
    <row r="506" spans="1:27" hidden="1" x14ac:dyDescent="0.25">
      <c r="A506" t="s">
        <v>22</v>
      </c>
      <c r="B506">
        <f>IF(COUNTIF(dropdown!B$2:B$12,all_inputs!A506)=1,1,IF(COUNTIF(dropdown!C$2:C$4,all_inputs!A506)=1,2,IF(COUNTIF(dropdown!D$2:D$3,all_inputs!A506)=1,3,"?")))</f>
        <v>1</v>
      </c>
      <c r="C506" t="s">
        <v>13</v>
      </c>
      <c r="D506" t="s">
        <v>472</v>
      </c>
      <c r="E506" t="s">
        <v>473</v>
      </c>
      <c r="F506" s="4">
        <f>IF(AND(all_inputs!E506=dropdown!AC$8, COUNTIF(dropdown!AC$9:AC$19,all_inputs!A506)=1), dropdown!X$9, 1)</f>
        <v>1</v>
      </c>
      <c r="G506" s="4">
        <f>ui!B$4</f>
        <v>2025</v>
      </c>
      <c r="H506" s="4">
        <f>ui!B$5</f>
        <v>2050</v>
      </c>
      <c r="I506" s="4" t="s">
        <v>93</v>
      </c>
      <c r="J506" s="4" t="str">
        <f>VLOOKUP(ui!B$2,dropdown!M:O,3,FALSE)</f>
        <v>LIC</v>
      </c>
      <c r="K506" s="4"/>
      <c r="L506" s="4"/>
      <c r="M506" s="4"/>
      <c r="N506" s="4">
        <f>ui!C$56</f>
        <v>10</v>
      </c>
      <c r="O506" s="4"/>
      <c r="P506" s="4"/>
      <c r="Q506" s="4"/>
      <c r="R506" s="4">
        <f>ui!D$56</f>
        <v>30</v>
      </c>
      <c r="S506" s="4"/>
      <c r="T506" s="4"/>
      <c r="U506" s="4"/>
      <c r="V506" s="4"/>
      <c r="W506" s="4"/>
      <c r="X506" s="4"/>
      <c r="Y506" s="4"/>
      <c r="Z506" s="4"/>
      <c r="AA506" t="b">
        <f>VLOOKUP(E506,ui!A$56:B$56,2,FALSE)</f>
        <v>1</v>
      </c>
    </row>
    <row r="507" spans="1:27" hidden="1" x14ac:dyDescent="0.25">
      <c r="A507" t="s">
        <v>22</v>
      </c>
      <c r="B507">
        <f>IF(COUNTIF(dropdown!B$2:B$12,all_inputs!A507)=1,1,IF(COUNTIF(dropdown!C$2:C$4,all_inputs!A507)=1,2,IF(COUNTIF(dropdown!D$2:D$3,all_inputs!A507)=1,3,"?")))</f>
        <v>1</v>
      </c>
      <c r="C507" t="s">
        <v>14</v>
      </c>
      <c r="D507" t="s">
        <v>466</v>
      </c>
      <c r="E507" t="s">
        <v>473</v>
      </c>
      <c r="F507">
        <f>IF(AND(all_inputs!E507=dropdown!AC$8, COUNTIF(dropdown!AC$9:AC$19,all_inputs!A507)=1), dropdown!X$10, 1)</f>
        <v>1</v>
      </c>
      <c r="G507" s="4">
        <f>ui!B$4</f>
        <v>2025</v>
      </c>
      <c r="H507" s="4">
        <f>ui!B$5</f>
        <v>2050</v>
      </c>
      <c r="I507" s="4" t="s">
        <v>93</v>
      </c>
      <c r="J507" s="4" t="str">
        <f>VLOOKUP(ui!B$2,dropdown!M:O,3,FALSE)</f>
        <v>LIC</v>
      </c>
      <c r="K507" s="4"/>
      <c r="L507" s="4"/>
      <c r="M507" s="4"/>
      <c r="N507" s="4">
        <f>ui!C$56</f>
        <v>10</v>
      </c>
      <c r="O507" s="4"/>
      <c r="P507" s="4"/>
      <c r="Q507" s="4"/>
      <c r="R507" s="4">
        <f>ui!D$56</f>
        <v>30</v>
      </c>
      <c r="S507" s="4"/>
      <c r="T507" s="4"/>
      <c r="U507" s="4"/>
      <c r="V507" s="4"/>
      <c r="W507" s="4"/>
      <c r="X507" s="4"/>
      <c r="Y507" s="4"/>
      <c r="Z507" s="4"/>
      <c r="AA507" t="b">
        <f>VLOOKUP(E507,ui!A$56:B$56,2,FALSE)</f>
        <v>1</v>
      </c>
    </row>
    <row r="508" spans="1:27" hidden="1" x14ac:dyDescent="0.25">
      <c r="A508" t="s">
        <v>22</v>
      </c>
      <c r="B508">
        <f>IF(COUNTIF(dropdown!B$2:B$12,all_inputs!A508)=1,1,IF(COUNTIF(dropdown!C$2:C$4,all_inputs!A508)=1,2,IF(COUNTIF(dropdown!D$2:D$3,all_inputs!A508)=1,3,"?")))</f>
        <v>1</v>
      </c>
      <c r="C508" t="s">
        <v>15</v>
      </c>
      <c r="D508" t="s">
        <v>466</v>
      </c>
      <c r="E508" t="s">
        <v>473</v>
      </c>
      <c r="F508" s="4">
        <f>IF(AND(all_inputs!E508=dropdown!AC$8, COUNTIF(dropdown!AC$9:AC$19,all_inputs!A508)=1), dropdown!X$11, 1)</f>
        <v>1</v>
      </c>
      <c r="G508" s="4">
        <f>ui!B$4</f>
        <v>2025</v>
      </c>
      <c r="H508" s="4">
        <f>ui!B$5</f>
        <v>2050</v>
      </c>
      <c r="I508" s="4" t="s">
        <v>93</v>
      </c>
      <c r="J508" s="4" t="str">
        <f>VLOOKUP(ui!B$2,dropdown!M:O,3,FALSE)</f>
        <v>LIC</v>
      </c>
      <c r="K508" s="4"/>
      <c r="L508" s="4"/>
      <c r="M508" s="4"/>
      <c r="N508" s="4">
        <f>ui!C$56</f>
        <v>10</v>
      </c>
      <c r="O508" s="4"/>
      <c r="P508" s="4"/>
      <c r="Q508" s="4"/>
      <c r="R508" s="4">
        <f>ui!D$56</f>
        <v>30</v>
      </c>
      <c r="S508" s="4"/>
      <c r="T508" s="4"/>
      <c r="U508" s="4"/>
      <c r="V508" s="4"/>
      <c r="W508" s="4"/>
      <c r="X508" s="4"/>
      <c r="Y508" s="4"/>
      <c r="Z508" s="4"/>
      <c r="AA508" t="b">
        <f>VLOOKUP(E508,ui!A$56:B$56,2,FALSE)</f>
        <v>1</v>
      </c>
    </row>
    <row r="509" spans="1:27" hidden="1" x14ac:dyDescent="0.25">
      <c r="A509" t="s">
        <v>22</v>
      </c>
      <c r="B509">
        <f>IF(COUNTIF(dropdown!B$2:B$12,all_inputs!A509)=1,1,IF(COUNTIF(dropdown!C$2:C$4,all_inputs!A509)=1,2,IF(COUNTIF(dropdown!D$2:D$3,all_inputs!A509)=1,3,"?")))</f>
        <v>1</v>
      </c>
      <c r="C509" t="s">
        <v>16</v>
      </c>
      <c r="D509" t="s">
        <v>467</v>
      </c>
      <c r="E509" t="s">
        <v>473</v>
      </c>
      <c r="F509">
        <f>IF(AND(all_inputs!E509=dropdown!AC$8, COUNTIF(dropdown!AC$9:AC$19,all_inputs!A509)=1), dropdown!X$12, 1)</f>
        <v>1</v>
      </c>
      <c r="G509" s="4">
        <f>ui!B$4</f>
        <v>2025</v>
      </c>
      <c r="H509" s="4">
        <f>ui!B$5</f>
        <v>2050</v>
      </c>
      <c r="I509" s="4" t="s">
        <v>93</v>
      </c>
      <c r="J509" s="4" t="str">
        <f>VLOOKUP(ui!B$2,dropdown!M:O,3,FALSE)</f>
        <v>LIC</v>
      </c>
      <c r="K509" s="4"/>
      <c r="L509" s="4"/>
      <c r="M509" s="4"/>
      <c r="N509" s="4">
        <f>ui!C$56</f>
        <v>10</v>
      </c>
      <c r="O509" s="4"/>
      <c r="P509" s="4"/>
      <c r="Q509" s="4"/>
      <c r="R509" s="4">
        <f>ui!D$56</f>
        <v>30</v>
      </c>
      <c r="S509" s="4"/>
      <c r="T509" s="4"/>
      <c r="U509" s="4"/>
      <c r="V509" s="4"/>
      <c r="W509" s="4"/>
      <c r="X509" s="4"/>
      <c r="Y509" s="4"/>
      <c r="Z509" s="4"/>
      <c r="AA509" t="b">
        <f>VLOOKUP(E509,ui!A$56:B$56,2,FALSE)</f>
        <v>1</v>
      </c>
    </row>
    <row r="510" spans="1:27" hidden="1" x14ac:dyDescent="0.25">
      <c r="A510" t="s">
        <v>22</v>
      </c>
      <c r="B510">
        <f>IF(COUNTIF(dropdown!B$2:B$12,all_inputs!A510)=1,1,IF(COUNTIF(dropdown!C$2:C$4,all_inputs!A510)=1,2,IF(COUNTIF(dropdown!D$2:D$3,all_inputs!A510)=1,3,"?")))</f>
        <v>1</v>
      </c>
      <c r="C510" t="s">
        <v>17</v>
      </c>
      <c r="D510" t="s">
        <v>468</v>
      </c>
      <c r="E510" t="s">
        <v>473</v>
      </c>
      <c r="F510">
        <f>IF(AND(all_inputs!E510=dropdown!AC$8, COUNTIF(dropdown!AC$9:AC$19,all_inputs!A510)=1), dropdown!X$13, 1)</f>
        <v>1</v>
      </c>
      <c r="G510" s="4">
        <f>ui!B$4</f>
        <v>2025</v>
      </c>
      <c r="H510" s="4">
        <f>ui!B$5</f>
        <v>2050</v>
      </c>
      <c r="I510" s="4" t="s">
        <v>93</v>
      </c>
      <c r="J510" s="4" t="str">
        <f>VLOOKUP(ui!B$2,dropdown!M:O,3,FALSE)</f>
        <v>LIC</v>
      </c>
      <c r="K510" s="4"/>
      <c r="L510" s="4"/>
      <c r="M510" s="4"/>
      <c r="N510" s="4">
        <f>ui!C$56</f>
        <v>10</v>
      </c>
      <c r="O510" s="4"/>
      <c r="P510" s="4"/>
      <c r="Q510" s="4"/>
      <c r="R510" s="4">
        <f>ui!D$56</f>
        <v>30</v>
      </c>
      <c r="S510" s="4"/>
      <c r="T510" s="4"/>
      <c r="U510" s="4"/>
      <c r="V510" s="4"/>
      <c r="W510" s="4"/>
      <c r="X510" s="4"/>
      <c r="Y510" s="4"/>
      <c r="Z510" s="4"/>
      <c r="AA510" t="b">
        <f>VLOOKUP(E510,ui!A$56:B$56,2,FALSE)</f>
        <v>1</v>
      </c>
    </row>
    <row r="511" spans="1:27" hidden="1" x14ac:dyDescent="0.25">
      <c r="A511" s="2" t="s">
        <v>22</v>
      </c>
      <c r="B511" s="2">
        <f>IF(COUNTIF(dropdown!B$2:B$12,all_inputs!A511)=1,1,IF(COUNTIF(dropdown!C$2:C$4,all_inputs!A511)=1,2,IF(COUNTIF(dropdown!D$2:D$3,all_inputs!A511)=1,3,"?")))</f>
        <v>1</v>
      </c>
      <c r="C511" s="2" t="s">
        <v>18</v>
      </c>
      <c r="D511" s="2" t="s">
        <v>469</v>
      </c>
      <c r="E511" s="2" t="s">
        <v>473</v>
      </c>
      <c r="F511" s="2">
        <f>IF(AND(all_inputs!E511=dropdown!AC$8, COUNTIF(dropdown!AC$9:AC$19,all_inputs!A511)=1), dropdown!X$14, 1)</f>
        <v>1</v>
      </c>
      <c r="G511" s="5">
        <f>ui!B$4</f>
        <v>2025</v>
      </c>
      <c r="H511" s="5">
        <f>ui!B$5</f>
        <v>2050</v>
      </c>
      <c r="I511" s="5" t="s">
        <v>93</v>
      </c>
      <c r="J511" s="5" t="str">
        <f>VLOOKUP(ui!B$2,dropdown!M:O,3,FALSE)</f>
        <v>LIC</v>
      </c>
      <c r="K511" s="5"/>
      <c r="L511" s="5"/>
      <c r="M511" s="5"/>
      <c r="N511" s="5">
        <f>ui!C$56</f>
        <v>10</v>
      </c>
      <c r="O511" s="5"/>
      <c r="P511" s="5"/>
      <c r="Q511" s="5"/>
      <c r="R511" s="5">
        <f>ui!D$56</f>
        <v>30</v>
      </c>
      <c r="S511" s="5"/>
      <c r="T511" s="5"/>
      <c r="U511" s="5"/>
      <c r="V511" s="5"/>
      <c r="W511" s="5"/>
      <c r="X511" s="5"/>
      <c r="Y511" s="5"/>
      <c r="Z511" s="5"/>
      <c r="AA511" s="2" t="b">
        <f>VLOOKUP(E511,ui!A$56:B$56,2,FALSE)</f>
        <v>1</v>
      </c>
    </row>
    <row r="512" spans="1:27" hidden="1" x14ac:dyDescent="0.25">
      <c r="A512" t="s">
        <v>23</v>
      </c>
      <c r="B512">
        <f>IF(COUNTIF(dropdown!B$2:B$12,all_inputs!A512)=1,1,IF(COUNTIF(dropdown!C$2:C$4,all_inputs!A512)=1,2,IF(COUNTIF(dropdown!D$2:D$3,all_inputs!A512)=1,3,"?")))</f>
        <v>1</v>
      </c>
      <c r="C512" t="s">
        <v>13</v>
      </c>
      <c r="D512" t="s">
        <v>472</v>
      </c>
      <c r="E512" t="s">
        <v>473</v>
      </c>
      <c r="F512" s="4">
        <f>IF(AND(all_inputs!E512=dropdown!AC$8, COUNTIF(dropdown!AC$9:AC$19,all_inputs!A512)=1), dropdown!X$9, 1)</f>
        <v>1</v>
      </c>
      <c r="G512" s="4">
        <f>ui!B$4</f>
        <v>2025</v>
      </c>
      <c r="H512" s="4">
        <f>ui!B$5</f>
        <v>2050</v>
      </c>
      <c r="I512" s="4" t="s">
        <v>93</v>
      </c>
      <c r="J512" s="4" t="str">
        <f>VLOOKUP(ui!B$2,dropdown!M:O,3,FALSE)</f>
        <v>LIC</v>
      </c>
      <c r="K512" s="4"/>
      <c r="L512" s="4"/>
      <c r="M512" s="4"/>
      <c r="N512" s="4">
        <f>ui!C$56</f>
        <v>10</v>
      </c>
      <c r="O512" s="4"/>
      <c r="P512" s="4"/>
      <c r="Q512" s="4"/>
      <c r="R512" s="4">
        <f>ui!D$56</f>
        <v>30</v>
      </c>
      <c r="S512" s="4"/>
      <c r="T512" s="4"/>
      <c r="U512" s="4"/>
      <c r="V512" s="4"/>
      <c r="W512" s="4"/>
      <c r="X512" s="4"/>
      <c r="Y512" s="4"/>
      <c r="Z512" s="4"/>
      <c r="AA512" t="b">
        <f>VLOOKUP(E512,ui!A$56:B$56,2,FALSE)</f>
        <v>1</v>
      </c>
    </row>
    <row r="513" spans="1:27" hidden="1" x14ac:dyDescent="0.25">
      <c r="A513" t="s">
        <v>23</v>
      </c>
      <c r="B513">
        <f>IF(COUNTIF(dropdown!B$2:B$12,all_inputs!A513)=1,1,IF(COUNTIF(dropdown!C$2:C$4,all_inputs!A513)=1,2,IF(COUNTIF(dropdown!D$2:D$3,all_inputs!A513)=1,3,"?")))</f>
        <v>1</v>
      </c>
      <c r="C513" t="s">
        <v>14</v>
      </c>
      <c r="D513" t="s">
        <v>466</v>
      </c>
      <c r="E513" t="s">
        <v>473</v>
      </c>
      <c r="F513">
        <f>IF(AND(all_inputs!E513=dropdown!AC$8, COUNTIF(dropdown!AC$9:AC$19,all_inputs!A513)=1), dropdown!X$10, 1)</f>
        <v>1</v>
      </c>
      <c r="G513" s="4">
        <f>ui!B$4</f>
        <v>2025</v>
      </c>
      <c r="H513" s="4">
        <f>ui!B$5</f>
        <v>2050</v>
      </c>
      <c r="I513" s="4" t="s">
        <v>93</v>
      </c>
      <c r="J513" s="4" t="str">
        <f>VLOOKUP(ui!B$2,dropdown!M:O,3,FALSE)</f>
        <v>LIC</v>
      </c>
      <c r="K513" s="4"/>
      <c r="L513" s="4"/>
      <c r="M513" s="4"/>
      <c r="N513" s="4">
        <f>ui!C$56</f>
        <v>10</v>
      </c>
      <c r="O513" s="4"/>
      <c r="P513" s="4"/>
      <c r="Q513" s="4"/>
      <c r="R513" s="4">
        <f>ui!D$56</f>
        <v>30</v>
      </c>
      <c r="S513" s="4"/>
      <c r="T513" s="4"/>
      <c r="U513" s="4"/>
      <c r="V513" s="4"/>
      <c r="W513" s="4"/>
      <c r="X513" s="4"/>
      <c r="Y513" s="4"/>
      <c r="Z513" s="4"/>
      <c r="AA513" t="b">
        <f>VLOOKUP(E513,ui!A$56:B$56,2,FALSE)</f>
        <v>1</v>
      </c>
    </row>
    <row r="514" spans="1:27" hidden="1" x14ac:dyDescent="0.25">
      <c r="A514" t="s">
        <v>23</v>
      </c>
      <c r="B514">
        <f>IF(COUNTIF(dropdown!B$2:B$12,all_inputs!A514)=1,1,IF(COUNTIF(dropdown!C$2:C$4,all_inputs!A514)=1,2,IF(COUNTIF(dropdown!D$2:D$3,all_inputs!A514)=1,3,"?")))</f>
        <v>1</v>
      </c>
      <c r="C514" t="s">
        <v>15</v>
      </c>
      <c r="D514" t="s">
        <v>466</v>
      </c>
      <c r="E514" t="s">
        <v>473</v>
      </c>
      <c r="F514" s="4">
        <f>IF(AND(all_inputs!E514=dropdown!AC$8, COUNTIF(dropdown!AC$9:AC$19,all_inputs!A514)=1), dropdown!X$11, 1)</f>
        <v>1</v>
      </c>
      <c r="G514" s="4">
        <f>ui!B$4</f>
        <v>2025</v>
      </c>
      <c r="H514" s="4">
        <f>ui!B$5</f>
        <v>2050</v>
      </c>
      <c r="I514" s="4" t="s">
        <v>93</v>
      </c>
      <c r="J514" s="4" t="str">
        <f>VLOOKUP(ui!B$2,dropdown!M:O,3,FALSE)</f>
        <v>LIC</v>
      </c>
      <c r="K514" s="4"/>
      <c r="L514" s="4"/>
      <c r="M514" s="4"/>
      <c r="N514" s="4">
        <f>ui!C$56</f>
        <v>10</v>
      </c>
      <c r="O514" s="4"/>
      <c r="P514" s="4"/>
      <c r="Q514" s="4"/>
      <c r="R514" s="4">
        <f>ui!D$56</f>
        <v>30</v>
      </c>
      <c r="S514" s="4"/>
      <c r="T514" s="4"/>
      <c r="U514" s="4"/>
      <c r="V514" s="4"/>
      <c r="W514" s="4"/>
      <c r="X514" s="4"/>
      <c r="Y514" s="4"/>
      <c r="Z514" s="4"/>
      <c r="AA514" t="b">
        <f>VLOOKUP(E514,ui!A$56:B$56,2,FALSE)</f>
        <v>1</v>
      </c>
    </row>
    <row r="515" spans="1:27" hidden="1" x14ac:dyDescent="0.25">
      <c r="A515" t="s">
        <v>23</v>
      </c>
      <c r="B515">
        <f>IF(COUNTIF(dropdown!B$2:B$12,all_inputs!A515)=1,1,IF(COUNTIF(dropdown!C$2:C$4,all_inputs!A515)=1,2,IF(COUNTIF(dropdown!D$2:D$3,all_inputs!A515)=1,3,"?")))</f>
        <v>1</v>
      </c>
      <c r="C515" t="s">
        <v>16</v>
      </c>
      <c r="D515" t="s">
        <v>467</v>
      </c>
      <c r="E515" t="s">
        <v>473</v>
      </c>
      <c r="F515" s="4">
        <f>IF(AND(all_inputs!E515=dropdown!AC$8, COUNTIF(dropdown!AC$9:AC$19,all_inputs!A515)=1), dropdown!X$12, 1)</f>
        <v>1</v>
      </c>
      <c r="G515" s="4">
        <f>ui!B$4</f>
        <v>2025</v>
      </c>
      <c r="H515" s="4">
        <f>ui!B$5</f>
        <v>2050</v>
      </c>
      <c r="I515" s="4" t="s">
        <v>93</v>
      </c>
      <c r="J515" s="4" t="str">
        <f>VLOOKUP(ui!B$2,dropdown!M:O,3,FALSE)</f>
        <v>LIC</v>
      </c>
      <c r="K515" s="4"/>
      <c r="L515" s="4"/>
      <c r="M515" s="4"/>
      <c r="N515" s="4">
        <f>ui!C$56</f>
        <v>10</v>
      </c>
      <c r="O515" s="4"/>
      <c r="P515" s="4"/>
      <c r="Q515" s="4"/>
      <c r="R515" s="4">
        <f>ui!D$56</f>
        <v>30</v>
      </c>
      <c r="S515" s="4"/>
      <c r="T515" s="4"/>
      <c r="U515" s="4"/>
      <c r="V515" s="4"/>
      <c r="W515" s="4"/>
      <c r="X515" s="4"/>
      <c r="Y515" s="4"/>
      <c r="Z515" s="4"/>
      <c r="AA515" t="b">
        <f>VLOOKUP(E515,ui!A$56:B$56,2,FALSE)</f>
        <v>1</v>
      </c>
    </row>
    <row r="516" spans="1:27" hidden="1" x14ac:dyDescent="0.25">
      <c r="A516" t="s">
        <v>23</v>
      </c>
      <c r="B516">
        <f>IF(COUNTIF(dropdown!B$2:B$12,all_inputs!A516)=1,1,IF(COUNTIF(dropdown!C$2:C$4,all_inputs!A516)=1,2,IF(COUNTIF(dropdown!D$2:D$3,all_inputs!A516)=1,3,"?")))</f>
        <v>1</v>
      </c>
      <c r="C516" t="s">
        <v>17</v>
      </c>
      <c r="D516" t="s">
        <v>468</v>
      </c>
      <c r="E516" t="s">
        <v>473</v>
      </c>
      <c r="F516" s="4">
        <f>IF(AND(all_inputs!E516=dropdown!AC$8, COUNTIF(dropdown!AC$9:AC$19,all_inputs!A516)=1), dropdown!X$13, 1)</f>
        <v>1</v>
      </c>
      <c r="G516" s="4">
        <f>ui!B$4</f>
        <v>2025</v>
      </c>
      <c r="H516" s="4">
        <f>ui!B$5</f>
        <v>2050</v>
      </c>
      <c r="I516" s="4" t="s">
        <v>93</v>
      </c>
      <c r="J516" s="4" t="str">
        <f>VLOOKUP(ui!B$2,dropdown!M:O,3,FALSE)</f>
        <v>LIC</v>
      </c>
      <c r="K516" s="4"/>
      <c r="L516" s="4"/>
      <c r="M516" s="4"/>
      <c r="N516" s="4">
        <f>ui!C$56</f>
        <v>10</v>
      </c>
      <c r="O516" s="4"/>
      <c r="P516" s="4"/>
      <c r="Q516" s="4"/>
      <c r="R516" s="4">
        <f>ui!D$56</f>
        <v>30</v>
      </c>
      <c r="S516" s="4"/>
      <c r="T516" s="4"/>
      <c r="U516" s="4"/>
      <c r="V516" s="4"/>
      <c r="W516" s="4"/>
      <c r="X516" s="4"/>
      <c r="Y516" s="4"/>
      <c r="Z516" s="4"/>
      <c r="AA516" t="b">
        <f>VLOOKUP(E516,ui!A$56:B$56,2,FALSE)</f>
        <v>1</v>
      </c>
    </row>
    <row r="517" spans="1:27" hidden="1" x14ac:dyDescent="0.25">
      <c r="A517" s="2" t="s">
        <v>23</v>
      </c>
      <c r="B517" s="2">
        <f>IF(COUNTIF(dropdown!B$2:B$12,all_inputs!A517)=1,1,IF(COUNTIF(dropdown!C$2:C$4,all_inputs!A517)=1,2,IF(COUNTIF(dropdown!D$2:D$3,all_inputs!A517)=1,3,"?")))</f>
        <v>1</v>
      </c>
      <c r="C517" s="2" t="s">
        <v>18</v>
      </c>
      <c r="D517" s="2" t="s">
        <v>469</v>
      </c>
      <c r="E517" s="2" t="s">
        <v>473</v>
      </c>
      <c r="F517" s="2">
        <f>IF(AND(all_inputs!E517=dropdown!AC$8, COUNTIF(dropdown!AC$9:AC$19,all_inputs!A517)=1), dropdown!X$14, 1)</f>
        <v>1</v>
      </c>
      <c r="G517" s="5">
        <f>ui!B$4</f>
        <v>2025</v>
      </c>
      <c r="H517" s="5">
        <f>ui!B$5</f>
        <v>2050</v>
      </c>
      <c r="I517" s="5" t="s">
        <v>93</v>
      </c>
      <c r="J517" s="5" t="str">
        <f>VLOOKUP(ui!B$2,dropdown!M:O,3,FALSE)</f>
        <v>LIC</v>
      </c>
      <c r="K517" s="5"/>
      <c r="L517" s="5"/>
      <c r="M517" s="5"/>
      <c r="N517" s="5">
        <f>ui!C$56</f>
        <v>10</v>
      </c>
      <c r="O517" s="5"/>
      <c r="P517" s="5"/>
      <c r="Q517" s="5"/>
      <c r="R517" s="5">
        <f>ui!D$56</f>
        <v>30</v>
      </c>
      <c r="S517" s="5"/>
      <c r="T517" s="5"/>
      <c r="U517" s="5"/>
      <c r="V517" s="5"/>
      <c r="W517" s="5"/>
      <c r="X517" s="5"/>
      <c r="Y517" s="5"/>
      <c r="Z517" s="5"/>
      <c r="AA517" s="2" t="b">
        <f>VLOOKUP(E517,ui!A$56:B$56,2,FALSE)</f>
        <v>1</v>
      </c>
    </row>
    <row r="518" spans="1:27" hidden="1" x14ac:dyDescent="0.25">
      <c r="A518" t="s">
        <v>24</v>
      </c>
      <c r="B518">
        <f>IF(COUNTIF(dropdown!B$2:B$12,all_inputs!A518)=1,1,IF(COUNTIF(dropdown!C$2:C$4,all_inputs!A518)=1,2,IF(COUNTIF(dropdown!D$2:D$3,all_inputs!A518)=1,3,"?")))</f>
        <v>1</v>
      </c>
      <c r="C518" t="s">
        <v>13</v>
      </c>
      <c r="D518" t="s">
        <v>472</v>
      </c>
      <c r="E518" t="s">
        <v>473</v>
      </c>
      <c r="F518" s="4">
        <f>IF(AND(all_inputs!E518=dropdown!AC$8, COUNTIF(dropdown!AC$9:AC$19,all_inputs!A518)=1), dropdown!X$9, 1)</f>
        <v>1</v>
      </c>
      <c r="G518" s="4">
        <f>ui!B$4</f>
        <v>2025</v>
      </c>
      <c r="H518" s="4">
        <f>ui!B$5</f>
        <v>2050</v>
      </c>
      <c r="I518" s="4" t="s">
        <v>93</v>
      </c>
      <c r="J518" s="4" t="str">
        <f>VLOOKUP(ui!B$2,dropdown!M:O,3,FALSE)</f>
        <v>LIC</v>
      </c>
      <c r="K518" s="4"/>
      <c r="L518" s="4"/>
      <c r="M518" s="4"/>
      <c r="N518" s="4">
        <f>ui!C$56</f>
        <v>10</v>
      </c>
      <c r="O518" s="4"/>
      <c r="P518" s="4"/>
      <c r="Q518" s="4"/>
      <c r="R518" s="4">
        <f>ui!D$56</f>
        <v>30</v>
      </c>
      <c r="S518" s="4"/>
      <c r="T518" s="4"/>
      <c r="U518" s="4"/>
      <c r="V518" s="4"/>
      <c r="W518" s="4"/>
      <c r="X518" s="4"/>
      <c r="Y518" s="4"/>
      <c r="Z518" s="4"/>
      <c r="AA518" t="b">
        <f>VLOOKUP(E518,ui!A$56:B$56,2,FALSE)</f>
        <v>1</v>
      </c>
    </row>
    <row r="519" spans="1:27" hidden="1" x14ac:dyDescent="0.25">
      <c r="A519" t="s">
        <v>24</v>
      </c>
      <c r="B519">
        <f>IF(COUNTIF(dropdown!B$2:B$12,all_inputs!A519)=1,1,IF(COUNTIF(dropdown!C$2:C$4,all_inputs!A519)=1,2,IF(COUNTIF(dropdown!D$2:D$3,all_inputs!A519)=1,3,"?")))</f>
        <v>1</v>
      </c>
      <c r="C519" t="s">
        <v>14</v>
      </c>
      <c r="D519" t="s">
        <v>466</v>
      </c>
      <c r="E519" t="s">
        <v>473</v>
      </c>
      <c r="F519">
        <f>IF(AND(all_inputs!E519=dropdown!AC$8, COUNTIF(dropdown!AC$9:AC$19,all_inputs!A519)=1), dropdown!X$10, 1)</f>
        <v>1</v>
      </c>
      <c r="G519" s="4">
        <f>ui!B$4</f>
        <v>2025</v>
      </c>
      <c r="H519" s="4">
        <f>ui!B$5</f>
        <v>2050</v>
      </c>
      <c r="I519" s="4" t="s">
        <v>93</v>
      </c>
      <c r="J519" s="4" t="str">
        <f>VLOOKUP(ui!B$2,dropdown!M:O,3,FALSE)</f>
        <v>LIC</v>
      </c>
      <c r="K519" s="4"/>
      <c r="L519" s="4"/>
      <c r="M519" s="4"/>
      <c r="N519" s="4">
        <f>ui!C$56</f>
        <v>10</v>
      </c>
      <c r="O519" s="4"/>
      <c r="P519" s="4"/>
      <c r="Q519" s="4"/>
      <c r="R519" s="4">
        <f>ui!D$56</f>
        <v>30</v>
      </c>
      <c r="S519" s="4"/>
      <c r="T519" s="4"/>
      <c r="U519" s="4"/>
      <c r="V519" s="4"/>
      <c r="W519" s="4"/>
      <c r="X519" s="4"/>
      <c r="Y519" s="4"/>
      <c r="Z519" s="4"/>
      <c r="AA519" t="b">
        <f>VLOOKUP(E519,ui!A$56:B$56,2,FALSE)</f>
        <v>1</v>
      </c>
    </row>
    <row r="520" spans="1:27" hidden="1" x14ac:dyDescent="0.25">
      <c r="A520" t="s">
        <v>24</v>
      </c>
      <c r="B520">
        <f>IF(COUNTIF(dropdown!B$2:B$12,all_inputs!A520)=1,1,IF(COUNTIF(dropdown!C$2:C$4,all_inputs!A520)=1,2,IF(COUNTIF(dropdown!D$2:D$3,all_inputs!A520)=1,3,"?")))</f>
        <v>1</v>
      </c>
      <c r="C520" t="s">
        <v>15</v>
      </c>
      <c r="D520" t="s">
        <v>466</v>
      </c>
      <c r="E520" t="s">
        <v>473</v>
      </c>
      <c r="F520" s="4">
        <f>IF(AND(all_inputs!E520=dropdown!AC$8, COUNTIF(dropdown!AC$9:AC$19,all_inputs!A520)=1), dropdown!X$11, 1)</f>
        <v>1</v>
      </c>
      <c r="G520" s="4">
        <f>ui!B$4</f>
        <v>2025</v>
      </c>
      <c r="H520" s="4">
        <f>ui!B$5</f>
        <v>2050</v>
      </c>
      <c r="I520" s="4" t="s">
        <v>93</v>
      </c>
      <c r="J520" s="4" t="str">
        <f>VLOOKUP(ui!B$2,dropdown!M:O,3,FALSE)</f>
        <v>LIC</v>
      </c>
      <c r="K520" s="4"/>
      <c r="L520" s="4"/>
      <c r="M520" s="4"/>
      <c r="N520" s="4">
        <f>ui!C$56</f>
        <v>10</v>
      </c>
      <c r="O520" s="4"/>
      <c r="P520" s="4"/>
      <c r="Q520" s="4"/>
      <c r="R520" s="4">
        <f>ui!D$56</f>
        <v>30</v>
      </c>
      <c r="S520" s="4"/>
      <c r="T520" s="4"/>
      <c r="U520" s="4"/>
      <c r="V520" s="4"/>
      <c r="W520" s="4"/>
      <c r="X520" s="4"/>
      <c r="Y520" s="4"/>
      <c r="Z520" s="4"/>
      <c r="AA520" t="b">
        <f>VLOOKUP(E520,ui!A$56:B$56,2,FALSE)</f>
        <v>1</v>
      </c>
    </row>
    <row r="521" spans="1:27" hidden="1" x14ac:dyDescent="0.25">
      <c r="A521" t="s">
        <v>24</v>
      </c>
      <c r="B521">
        <f>IF(COUNTIF(dropdown!B$2:B$12,all_inputs!A521)=1,1,IF(COUNTIF(dropdown!C$2:C$4,all_inputs!A521)=1,2,IF(COUNTIF(dropdown!D$2:D$3,all_inputs!A521)=1,3,"?")))</f>
        <v>1</v>
      </c>
      <c r="C521" t="s">
        <v>16</v>
      </c>
      <c r="D521" t="s">
        <v>467</v>
      </c>
      <c r="E521" t="s">
        <v>473</v>
      </c>
      <c r="F521">
        <f>IF(AND(all_inputs!E521=dropdown!AC$8, COUNTIF(dropdown!AC$9:AC$19,all_inputs!A521)=1), dropdown!X$12, 1)</f>
        <v>1</v>
      </c>
      <c r="G521" s="4">
        <f>ui!B$4</f>
        <v>2025</v>
      </c>
      <c r="H521" s="4">
        <f>ui!B$5</f>
        <v>2050</v>
      </c>
      <c r="I521" s="4" t="s">
        <v>93</v>
      </c>
      <c r="J521" s="4" t="str">
        <f>VLOOKUP(ui!B$2,dropdown!M:O,3,FALSE)</f>
        <v>LIC</v>
      </c>
      <c r="K521" s="4"/>
      <c r="L521" s="4"/>
      <c r="M521" s="4"/>
      <c r="N521" s="4">
        <f>ui!C$56</f>
        <v>10</v>
      </c>
      <c r="O521" s="4"/>
      <c r="P521" s="4"/>
      <c r="Q521" s="4"/>
      <c r="R521" s="4">
        <f>ui!D$56</f>
        <v>30</v>
      </c>
      <c r="S521" s="4"/>
      <c r="T521" s="4"/>
      <c r="U521" s="4"/>
      <c r="V521" s="4"/>
      <c r="W521" s="4"/>
      <c r="X521" s="4"/>
      <c r="Y521" s="4"/>
      <c r="Z521" s="4"/>
      <c r="AA521" t="b">
        <f>VLOOKUP(E521,ui!A$56:B$56,2,FALSE)</f>
        <v>1</v>
      </c>
    </row>
    <row r="522" spans="1:27" hidden="1" x14ac:dyDescent="0.25">
      <c r="A522" t="s">
        <v>24</v>
      </c>
      <c r="B522">
        <f>IF(COUNTIF(dropdown!B$2:B$12,all_inputs!A522)=1,1,IF(COUNTIF(dropdown!C$2:C$4,all_inputs!A522)=1,2,IF(COUNTIF(dropdown!D$2:D$3,all_inputs!A522)=1,3,"?")))</f>
        <v>1</v>
      </c>
      <c r="C522" t="s">
        <v>17</v>
      </c>
      <c r="D522" t="s">
        <v>468</v>
      </c>
      <c r="E522" t="s">
        <v>473</v>
      </c>
      <c r="F522">
        <f>IF(AND(all_inputs!E522=dropdown!AC$8, COUNTIF(dropdown!AC$9:AC$19,all_inputs!A522)=1), dropdown!X$13, 1)</f>
        <v>1</v>
      </c>
      <c r="G522" s="4">
        <f>ui!B$4</f>
        <v>2025</v>
      </c>
      <c r="H522" s="4">
        <f>ui!B$5</f>
        <v>2050</v>
      </c>
      <c r="I522" s="4" t="s">
        <v>93</v>
      </c>
      <c r="J522" s="4" t="str">
        <f>VLOOKUP(ui!B$2,dropdown!M:O,3,FALSE)</f>
        <v>LIC</v>
      </c>
      <c r="K522" s="4"/>
      <c r="L522" s="4"/>
      <c r="M522" s="4"/>
      <c r="N522" s="4">
        <f>ui!C$56</f>
        <v>10</v>
      </c>
      <c r="O522" s="4"/>
      <c r="P522" s="4"/>
      <c r="Q522" s="4"/>
      <c r="R522" s="4">
        <f>ui!D$56</f>
        <v>30</v>
      </c>
      <c r="S522" s="4"/>
      <c r="T522" s="4"/>
      <c r="U522" s="4"/>
      <c r="V522" s="4"/>
      <c r="W522" s="4"/>
      <c r="X522" s="4"/>
      <c r="Y522" s="4"/>
      <c r="Z522" s="4"/>
      <c r="AA522" t="b">
        <f>VLOOKUP(E522,ui!A$56:B$56,2,FALSE)</f>
        <v>1</v>
      </c>
    </row>
    <row r="523" spans="1:27" hidden="1" x14ac:dyDescent="0.25">
      <c r="A523" s="2" t="s">
        <v>24</v>
      </c>
      <c r="B523" s="2">
        <f>IF(COUNTIF(dropdown!B$2:B$12,all_inputs!A523)=1,1,IF(COUNTIF(dropdown!C$2:C$4,all_inputs!A523)=1,2,IF(COUNTIF(dropdown!D$2:D$3,all_inputs!A523)=1,3,"?")))</f>
        <v>1</v>
      </c>
      <c r="C523" s="2" t="s">
        <v>18</v>
      </c>
      <c r="D523" s="2" t="s">
        <v>469</v>
      </c>
      <c r="E523" s="2" t="s">
        <v>473</v>
      </c>
      <c r="F523" s="2">
        <f>IF(AND(all_inputs!E523=dropdown!AC$8, COUNTIF(dropdown!AC$9:AC$19,all_inputs!A523)=1), dropdown!X$14, 1)</f>
        <v>1</v>
      </c>
      <c r="G523" s="5">
        <f>ui!B$4</f>
        <v>2025</v>
      </c>
      <c r="H523" s="5">
        <f>ui!B$5</f>
        <v>2050</v>
      </c>
      <c r="I523" s="5" t="s">
        <v>93</v>
      </c>
      <c r="J523" s="5" t="str">
        <f>VLOOKUP(ui!B$2,dropdown!M:O,3,FALSE)</f>
        <v>LIC</v>
      </c>
      <c r="K523" s="5"/>
      <c r="L523" s="5"/>
      <c r="M523" s="5"/>
      <c r="N523" s="5">
        <f>ui!C$56</f>
        <v>10</v>
      </c>
      <c r="O523" s="5"/>
      <c r="P523" s="5"/>
      <c r="Q523" s="5"/>
      <c r="R523" s="5">
        <f>ui!D$56</f>
        <v>30</v>
      </c>
      <c r="S523" s="5"/>
      <c r="T523" s="5"/>
      <c r="U523" s="5"/>
      <c r="V523" s="5"/>
      <c r="W523" s="5"/>
      <c r="X523" s="5"/>
      <c r="Y523" s="5"/>
      <c r="Z523" s="5"/>
      <c r="AA523" s="2" t="b">
        <f>VLOOKUP(E523,ui!A$56:B$56,2,FALSE)</f>
        <v>1</v>
      </c>
    </row>
    <row r="524" spans="1:27" hidden="1" x14ac:dyDescent="0.25">
      <c r="A524" t="s">
        <v>25</v>
      </c>
      <c r="B524">
        <f>IF(COUNTIF(dropdown!B$2:B$12,all_inputs!A524)=1,1,IF(COUNTIF(dropdown!C$2:C$4,all_inputs!A524)=1,2,IF(COUNTIF(dropdown!D$2:D$3,all_inputs!A524)=1,3,"?")))</f>
        <v>1</v>
      </c>
      <c r="C524" t="s">
        <v>13</v>
      </c>
      <c r="D524" t="s">
        <v>472</v>
      </c>
      <c r="E524" t="s">
        <v>473</v>
      </c>
      <c r="F524" s="4">
        <f>IF(AND(all_inputs!E524=dropdown!AC$8, COUNTIF(dropdown!AC$9:AC$19,all_inputs!A524)=1), dropdown!X$9, 1)</f>
        <v>1</v>
      </c>
      <c r="G524" s="4">
        <f>ui!B$4</f>
        <v>2025</v>
      </c>
      <c r="H524" s="4">
        <f>ui!B$5</f>
        <v>2050</v>
      </c>
      <c r="I524" s="4" t="s">
        <v>93</v>
      </c>
      <c r="J524" s="4" t="str">
        <f>VLOOKUP(ui!B$2,dropdown!M:O,3,FALSE)</f>
        <v>LIC</v>
      </c>
      <c r="K524" s="4"/>
      <c r="L524" s="4"/>
      <c r="M524" s="4"/>
      <c r="N524" s="4">
        <f>ui!C$56</f>
        <v>10</v>
      </c>
      <c r="O524" s="4"/>
      <c r="P524" s="4"/>
      <c r="Q524" s="4"/>
      <c r="R524" s="4">
        <f>ui!D$56</f>
        <v>30</v>
      </c>
      <c r="S524" s="4"/>
      <c r="T524" s="4"/>
      <c r="U524" s="4"/>
      <c r="V524" s="4"/>
      <c r="W524" s="4"/>
      <c r="X524" s="4"/>
      <c r="Y524" s="4"/>
      <c r="Z524" s="4"/>
      <c r="AA524" t="b">
        <f>VLOOKUP(E524,ui!A$56:B$56,2,FALSE)</f>
        <v>1</v>
      </c>
    </row>
    <row r="525" spans="1:27" hidden="1" x14ac:dyDescent="0.25">
      <c r="A525" t="s">
        <v>25</v>
      </c>
      <c r="B525">
        <f>IF(COUNTIF(dropdown!B$2:B$12,all_inputs!A525)=1,1,IF(COUNTIF(dropdown!C$2:C$4,all_inputs!A525)=1,2,IF(COUNTIF(dropdown!D$2:D$3,all_inputs!A525)=1,3,"?")))</f>
        <v>1</v>
      </c>
      <c r="C525" t="s">
        <v>14</v>
      </c>
      <c r="D525" t="s">
        <v>466</v>
      </c>
      <c r="E525" t="s">
        <v>473</v>
      </c>
      <c r="F525">
        <f>IF(AND(all_inputs!E525=dropdown!AC$8, COUNTIF(dropdown!AC$9:AC$19,all_inputs!A525)=1), dropdown!X$10, 1)</f>
        <v>1</v>
      </c>
      <c r="G525" s="4">
        <f>ui!B$4</f>
        <v>2025</v>
      </c>
      <c r="H525" s="4">
        <f>ui!B$5</f>
        <v>2050</v>
      </c>
      <c r="I525" s="4" t="s">
        <v>93</v>
      </c>
      <c r="J525" s="4" t="str">
        <f>VLOOKUP(ui!B$2,dropdown!M:O,3,FALSE)</f>
        <v>LIC</v>
      </c>
      <c r="K525" s="4"/>
      <c r="L525" s="4"/>
      <c r="M525" s="4"/>
      <c r="N525" s="4">
        <f>ui!C$56</f>
        <v>10</v>
      </c>
      <c r="O525" s="4"/>
      <c r="P525" s="4"/>
      <c r="Q525" s="4"/>
      <c r="R525" s="4">
        <f>ui!D$56</f>
        <v>30</v>
      </c>
      <c r="S525" s="4"/>
      <c r="T525" s="4"/>
      <c r="U525" s="4"/>
      <c r="V525" s="4"/>
      <c r="W525" s="4"/>
      <c r="X525" s="4"/>
      <c r="Y525" s="4"/>
      <c r="Z525" s="4"/>
      <c r="AA525" t="b">
        <f>VLOOKUP(E525,ui!A$56:B$56,2,FALSE)</f>
        <v>1</v>
      </c>
    </row>
    <row r="526" spans="1:27" hidden="1" x14ac:dyDescent="0.25">
      <c r="A526" t="s">
        <v>25</v>
      </c>
      <c r="B526">
        <f>IF(COUNTIF(dropdown!B$2:B$12,all_inputs!A526)=1,1,IF(COUNTIF(dropdown!C$2:C$4,all_inputs!A526)=1,2,IF(COUNTIF(dropdown!D$2:D$3,all_inputs!A526)=1,3,"?")))</f>
        <v>1</v>
      </c>
      <c r="C526" t="s">
        <v>15</v>
      </c>
      <c r="D526" t="s">
        <v>466</v>
      </c>
      <c r="E526" t="s">
        <v>473</v>
      </c>
      <c r="F526" s="4">
        <f>IF(AND(all_inputs!E526=dropdown!AC$8, COUNTIF(dropdown!AC$9:AC$19,all_inputs!A526)=1), dropdown!X$11, 1)</f>
        <v>1</v>
      </c>
      <c r="G526" s="4">
        <f>ui!B$4</f>
        <v>2025</v>
      </c>
      <c r="H526" s="4">
        <f>ui!B$5</f>
        <v>2050</v>
      </c>
      <c r="I526" s="4" t="s">
        <v>93</v>
      </c>
      <c r="J526" s="4" t="str">
        <f>VLOOKUP(ui!B$2,dropdown!M:O,3,FALSE)</f>
        <v>LIC</v>
      </c>
      <c r="K526" s="4"/>
      <c r="L526" s="4"/>
      <c r="M526" s="4"/>
      <c r="N526" s="4">
        <f>ui!C$56</f>
        <v>10</v>
      </c>
      <c r="O526" s="4"/>
      <c r="P526" s="4"/>
      <c r="Q526" s="4"/>
      <c r="R526" s="4">
        <f>ui!D$56</f>
        <v>30</v>
      </c>
      <c r="S526" s="4"/>
      <c r="T526" s="4"/>
      <c r="U526" s="4"/>
      <c r="V526" s="4"/>
      <c r="W526" s="4"/>
      <c r="X526" s="4"/>
      <c r="Y526" s="4"/>
      <c r="Z526" s="4"/>
      <c r="AA526" t="b">
        <f>VLOOKUP(E526,ui!A$56:B$56,2,FALSE)</f>
        <v>1</v>
      </c>
    </row>
    <row r="527" spans="1:27" hidden="1" x14ac:dyDescent="0.25">
      <c r="A527" t="s">
        <v>25</v>
      </c>
      <c r="B527">
        <f>IF(COUNTIF(dropdown!B$2:B$12,all_inputs!A527)=1,1,IF(COUNTIF(dropdown!C$2:C$4,all_inputs!A527)=1,2,IF(COUNTIF(dropdown!D$2:D$3,all_inputs!A527)=1,3,"?")))</f>
        <v>1</v>
      </c>
      <c r="C527" t="s">
        <v>16</v>
      </c>
      <c r="D527" t="s">
        <v>467</v>
      </c>
      <c r="E527" t="s">
        <v>473</v>
      </c>
      <c r="F527" s="4">
        <f>IF(AND(all_inputs!E527=dropdown!AC$8, COUNTIF(dropdown!AC$9:AC$19,all_inputs!A527)=1), dropdown!X$12, 1)</f>
        <v>1</v>
      </c>
      <c r="G527" s="4">
        <f>ui!B$4</f>
        <v>2025</v>
      </c>
      <c r="H527" s="4">
        <f>ui!B$5</f>
        <v>2050</v>
      </c>
      <c r="I527" s="4" t="s">
        <v>93</v>
      </c>
      <c r="J527" s="4" t="str">
        <f>VLOOKUP(ui!B$2,dropdown!M:O,3,FALSE)</f>
        <v>LIC</v>
      </c>
      <c r="K527" s="4"/>
      <c r="L527" s="4"/>
      <c r="M527" s="4"/>
      <c r="N527" s="4">
        <f>ui!C$56</f>
        <v>10</v>
      </c>
      <c r="O527" s="4"/>
      <c r="P527" s="4"/>
      <c r="Q527" s="4"/>
      <c r="R527" s="4">
        <f>ui!D$56</f>
        <v>30</v>
      </c>
      <c r="S527" s="4"/>
      <c r="T527" s="4"/>
      <c r="U527" s="4"/>
      <c r="V527" s="4"/>
      <c r="W527" s="4"/>
      <c r="X527" s="4"/>
      <c r="Y527" s="4"/>
      <c r="Z527" s="4"/>
      <c r="AA527" t="b">
        <f>VLOOKUP(E527,ui!A$56:B$56,2,FALSE)</f>
        <v>1</v>
      </c>
    </row>
    <row r="528" spans="1:27" hidden="1" x14ac:dyDescent="0.25">
      <c r="A528" t="s">
        <v>25</v>
      </c>
      <c r="B528">
        <f>IF(COUNTIF(dropdown!B$2:B$12,all_inputs!A528)=1,1,IF(COUNTIF(dropdown!C$2:C$4,all_inputs!A528)=1,2,IF(COUNTIF(dropdown!D$2:D$3,all_inputs!A528)=1,3,"?")))</f>
        <v>1</v>
      </c>
      <c r="C528" t="s">
        <v>17</v>
      </c>
      <c r="D528" t="s">
        <v>468</v>
      </c>
      <c r="E528" t="s">
        <v>473</v>
      </c>
      <c r="F528" s="4">
        <f>IF(AND(all_inputs!E528=dropdown!AC$8, COUNTIF(dropdown!AC$9:AC$19,all_inputs!A528)=1), dropdown!X$13, 1)</f>
        <v>1</v>
      </c>
      <c r="G528" s="4">
        <f>ui!B$4</f>
        <v>2025</v>
      </c>
      <c r="H528" s="4">
        <f>ui!B$5</f>
        <v>2050</v>
      </c>
      <c r="I528" s="4" t="s">
        <v>93</v>
      </c>
      <c r="J528" s="4" t="str">
        <f>VLOOKUP(ui!B$2,dropdown!M:O,3,FALSE)</f>
        <v>LIC</v>
      </c>
      <c r="K528" s="4"/>
      <c r="L528" s="4"/>
      <c r="M528" s="4"/>
      <c r="N528" s="4">
        <f>ui!C$56</f>
        <v>10</v>
      </c>
      <c r="O528" s="4"/>
      <c r="P528" s="4"/>
      <c r="Q528" s="4"/>
      <c r="R528" s="4">
        <f>ui!D$56</f>
        <v>30</v>
      </c>
      <c r="S528" s="4"/>
      <c r="T528" s="4"/>
      <c r="U528" s="4"/>
      <c r="V528" s="4"/>
      <c r="W528" s="4"/>
      <c r="X528" s="4"/>
      <c r="Y528" s="4"/>
      <c r="Z528" s="4"/>
      <c r="AA528" t="b">
        <f>VLOOKUP(E528,ui!A$56:B$56,2,FALSE)</f>
        <v>1</v>
      </c>
    </row>
    <row r="529" spans="1:27" hidden="1" x14ac:dyDescent="0.25">
      <c r="A529" s="2" t="s">
        <v>25</v>
      </c>
      <c r="B529" s="2">
        <f>IF(COUNTIF(dropdown!B$2:B$12,all_inputs!A529)=1,1,IF(COUNTIF(dropdown!C$2:C$4,all_inputs!A529)=1,2,IF(COUNTIF(dropdown!D$2:D$3,all_inputs!A529)=1,3,"?")))</f>
        <v>1</v>
      </c>
      <c r="C529" s="2" t="s">
        <v>18</v>
      </c>
      <c r="D529" s="2" t="s">
        <v>469</v>
      </c>
      <c r="E529" s="2" t="s">
        <v>473</v>
      </c>
      <c r="F529" s="2">
        <f>IF(AND(all_inputs!E529=dropdown!AC$8, COUNTIF(dropdown!AC$9:AC$19,all_inputs!A529)=1), dropdown!X$14, 1)</f>
        <v>1</v>
      </c>
      <c r="G529" s="5">
        <f>ui!B$4</f>
        <v>2025</v>
      </c>
      <c r="H529" s="5">
        <f>ui!B$5</f>
        <v>2050</v>
      </c>
      <c r="I529" s="5" t="s">
        <v>93</v>
      </c>
      <c r="J529" s="5" t="str">
        <f>VLOOKUP(ui!B$2,dropdown!M:O,3,FALSE)</f>
        <v>LIC</v>
      </c>
      <c r="K529" s="5"/>
      <c r="L529" s="5"/>
      <c r="M529" s="5"/>
      <c r="N529" s="5">
        <f>ui!C$56</f>
        <v>10</v>
      </c>
      <c r="O529" s="5"/>
      <c r="P529" s="5"/>
      <c r="Q529" s="5"/>
      <c r="R529" s="5">
        <f>ui!D$56</f>
        <v>30</v>
      </c>
      <c r="S529" s="5"/>
      <c r="T529" s="5"/>
      <c r="U529" s="5"/>
      <c r="V529" s="5"/>
      <c r="W529" s="5"/>
      <c r="X529" s="5"/>
      <c r="Y529" s="5"/>
      <c r="Z529" s="5"/>
      <c r="AA529" s="2" t="b">
        <f>VLOOKUP(E529,ui!A$56:B$56,2,FALSE)</f>
        <v>1</v>
      </c>
    </row>
    <row r="530" spans="1:27" hidden="1" x14ac:dyDescent="0.25">
      <c r="A530" t="s">
        <v>26</v>
      </c>
      <c r="B530">
        <f>IF(COUNTIF(dropdown!B$2:B$12,all_inputs!A530)=1,1,IF(COUNTIF(dropdown!C$2:C$4,all_inputs!A530)=1,2,IF(COUNTIF(dropdown!D$2:D$3,all_inputs!A530)=1,3,"?")))</f>
        <v>1</v>
      </c>
      <c r="C530" t="s">
        <v>13</v>
      </c>
      <c r="D530" t="s">
        <v>472</v>
      </c>
      <c r="E530" t="s">
        <v>473</v>
      </c>
      <c r="F530" s="4">
        <f>IF(AND(all_inputs!E530=dropdown!AC$8, COUNTIF(dropdown!AC$9:AC$19,all_inputs!A530)=1), dropdown!X$9, 1)</f>
        <v>1</v>
      </c>
      <c r="G530" s="4">
        <f>ui!B$4</f>
        <v>2025</v>
      </c>
      <c r="H530" s="4">
        <f>ui!B$5</f>
        <v>2050</v>
      </c>
      <c r="I530" s="4" t="s">
        <v>93</v>
      </c>
      <c r="J530" s="4" t="str">
        <f>VLOOKUP(ui!B$2,dropdown!M:O,3,FALSE)</f>
        <v>LIC</v>
      </c>
      <c r="K530" s="4"/>
      <c r="L530" s="4"/>
      <c r="M530" s="4"/>
      <c r="N530" s="4">
        <f>ui!C$56</f>
        <v>10</v>
      </c>
      <c r="O530" s="4"/>
      <c r="P530" s="4"/>
      <c r="Q530" s="4"/>
      <c r="R530" s="4">
        <f>ui!D$56</f>
        <v>30</v>
      </c>
      <c r="S530" s="4"/>
      <c r="T530" s="4"/>
      <c r="U530" s="4"/>
      <c r="V530" s="4"/>
      <c r="W530" s="4"/>
      <c r="X530" s="4"/>
      <c r="Y530" s="4"/>
      <c r="Z530" s="4"/>
      <c r="AA530" t="b">
        <f>VLOOKUP(E530,ui!A$56:B$56,2,FALSE)</f>
        <v>1</v>
      </c>
    </row>
    <row r="531" spans="1:27" hidden="1" x14ac:dyDescent="0.25">
      <c r="A531" t="s">
        <v>26</v>
      </c>
      <c r="B531">
        <f>IF(COUNTIF(dropdown!B$2:B$12,all_inputs!A531)=1,1,IF(COUNTIF(dropdown!C$2:C$4,all_inputs!A531)=1,2,IF(COUNTIF(dropdown!D$2:D$3,all_inputs!A531)=1,3,"?")))</f>
        <v>1</v>
      </c>
      <c r="C531" t="s">
        <v>14</v>
      </c>
      <c r="D531" t="s">
        <v>466</v>
      </c>
      <c r="E531" t="s">
        <v>473</v>
      </c>
      <c r="F531">
        <f>IF(AND(all_inputs!E531=dropdown!AC$8, COUNTIF(dropdown!AC$9:AC$19,all_inputs!A531)=1), dropdown!X$10, 1)</f>
        <v>1</v>
      </c>
      <c r="G531" s="4">
        <f>ui!B$4</f>
        <v>2025</v>
      </c>
      <c r="H531" s="4">
        <f>ui!B$5</f>
        <v>2050</v>
      </c>
      <c r="I531" s="4" t="s">
        <v>93</v>
      </c>
      <c r="J531" s="4" t="str">
        <f>VLOOKUP(ui!B$2,dropdown!M:O,3,FALSE)</f>
        <v>LIC</v>
      </c>
      <c r="K531" s="4"/>
      <c r="L531" s="4"/>
      <c r="M531" s="4"/>
      <c r="N531" s="4">
        <f>ui!C$56</f>
        <v>10</v>
      </c>
      <c r="O531" s="4"/>
      <c r="P531" s="4"/>
      <c r="Q531" s="4"/>
      <c r="R531" s="4">
        <f>ui!D$56</f>
        <v>30</v>
      </c>
      <c r="S531" s="4"/>
      <c r="T531" s="4"/>
      <c r="U531" s="4"/>
      <c r="V531" s="4"/>
      <c r="W531" s="4"/>
      <c r="X531" s="4"/>
      <c r="Y531" s="4"/>
      <c r="Z531" s="4"/>
      <c r="AA531" t="b">
        <f>VLOOKUP(E531,ui!A$56:B$56,2,FALSE)</f>
        <v>1</v>
      </c>
    </row>
    <row r="532" spans="1:27" hidden="1" x14ac:dyDescent="0.25">
      <c r="A532" t="s">
        <v>26</v>
      </c>
      <c r="B532">
        <f>IF(COUNTIF(dropdown!B$2:B$12,all_inputs!A532)=1,1,IF(COUNTIF(dropdown!C$2:C$4,all_inputs!A532)=1,2,IF(COUNTIF(dropdown!D$2:D$3,all_inputs!A532)=1,3,"?")))</f>
        <v>1</v>
      </c>
      <c r="C532" t="s">
        <v>15</v>
      </c>
      <c r="D532" t="s">
        <v>466</v>
      </c>
      <c r="E532" t="s">
        <v>473</v>
      </c>
      <c r="F532" s="4">
        <f>IF(AND(all_inputs!E532=dropdown!AC$8, COUNTIF(dropdown!AC$9:AC$19,all_inputs!A532)=1), dropdown!X$11, 1)</f>
        <v>1</v>
      </c>
      <c r="G532" s="4">
        <f>ui!B$4</f>
        <v>2025</v>
      </c>
      <c r="H532" s="4">
        <f>ui!B$5</f>
        <v>2050</v>
      </c>
      <c r="I532" s="4" t="s">
        <v>93</v>
      </c>
      <c r="J532" s="4" t="str">
        <f>VLOOKUP(ui!B$2,dropdown!M:O,3,FALSE)</f>
        <v>LIC</v>
      </c>
      <c r="K532" s="4"/>
      <c r="L532" s="4"/>
      <c r="M532" s="4"/>
      <c r="N532" s="4">
        <f>ui!C$56</f>
        <v>10</v>
      </c>
      <c r="O532" s="4"/>
      <c r="P532" s="4"/>
      <c r="Q532" s="4"/>
      <c r="R532" s="4">
        <f>ui!D$56</f>
        <v>30</v>
      </c>
      <c r="S532" s="4"/>
      <c r="T532" s="4"/>
      <c r="U532" s="4"/>
      <c r="V532" s="4"/>
      <c r="W532" s="4"/>
      <c r="X532" s="4"/>
      <c r="Y532" s="4"/>
      <c r="Z532" s="4"/>
      <c r="AA532" t="b">
        <f>VLOOKUP(E532,ui!A$56:B$56,2,FALSE)</f>
        <v>1</v>
      </c>
    </row>
    <row r="533" spans="1:27" hidden="1" x14ac:dyDescent="0.25">
      <c r="A533" t="s">
        <v>26</v>
      </c>
      <c r="B533">
        <f>IF(COUNTIF(dropdown!B$2:B$12,all_inputs!A533)=1,1,IF(COUNTIF(dropdown!C$2:C$4,all_inputs!A533)=1,2,IF(COUNTIF(dropdown!D$2:D$3,all_inputs!A533)=1,3,"?")))</f>
        <v>1</v>
      </c>
      <c r="C533" t="s">
        <v>16</v>
      </c>
      <c r="D533" t="s">
        <v>467</v>
      </c>
      <c r="E533" t="s">
        <v>473</v>
      </c>
      <c r="F533" s="4">
        <f>IF(AND(all_inputs!E533=dropdown!AC$8, COUNTIF(dropdown!AC$9:AC$19,all_inputs!A533)=1), dropdown!X$12, 1)</f>
        <v>1</v>
      </c>
      <c r="G533" s="4">
        <f>ui!B$4</f>
        <v>2025</v>
      </c>
      <c r="H533" s="4">
        <f>ui!B$5</f>
        <v>2050</v>
      </c>
      <c r="I533" s="4" t="s">
        <v>93</v>
      </c>
      <c r="J533" s="4" t="str">
        <f>VLOOKUP(ui!B$2,dropdown!M:O,3,FALSE)</f>
        <v>LIC</v>
      </c>
      <c r="K533" s="4"/>
      <c r="L533" s="4"/>
      <c r="M533" s="4"/>
      <c r="N533" s="4">
        <f>ui!C$56</f>
        <v>10</v>
      </c>
      <c r="O533" s="4"/>
      <c r="P533" s="4"/>
      <c r="Q533" s="4"/>
      <c r="R533" s="4">
        <f>ui!D$56</f>
        <v>30</v>
      </c>
      <c r="S533" s="4"/>
      <c r="T533" s="4"/>
      <c r="U533" s="4"/>
      <c r="V533" s="4"/>
      <c r="W533" s="4"/>
      <c r="X533" s="4"/>
      <c r="Y533" s="4"/>
      <c r="Z533" s="4"/>
      <c r="AA533" t="b">
        <f>VLOOKUP(E533,ui!A$56:B$56,2,FALSE)</f>
        <v>1</v>
      </c>
    </row>
    <row r="534" spans="1:27" hidden="1" x14ac:dyDescent="0.25">
      <c r="A534" t="s">
        <v>26</v>
      </c>
      <c r="B534">
        <f>IF(COUNTIF(dropdown!B$2:B$12,all_inputs!A534)=1,1,IF(COUNTIF(dropdown!C$2:C$4,all_inputs!A534)=1,2,IF(COUNTIF(dropdown!D$2:D$3,all_inputs!A534)=1,3,"?")))</f>
        <v>1</v>
      </c>
      <c r="C534" t="s">
        <v>17</v>
      </c>
      <c r="D534" t="s">
        <v>468</v>
      </c>
      <c r="E534" t="s">
        <v>473</v>
      </c>
      <c r="F534" s="4">
        <f>IF(AND(all_inputs!E534=dropdown!AC$8, COUNTIF(dropdown!AC$9:AC$19,all_inputs!A534)=1), dropdown!X$13, 1)</f>
        <v>1</v>
      </c>
      <c r="G534" s="4">
        <f>ui!B$4</f>
        <v>2025</v>
      </c>
      <c r="H534" s="4">
        <f>ui!B$5</f>
        <v>2050</v>
      </c>
      <c r="I534" s="4" t="s">
        <v>93</v>
      </c>
      <c r="J534" s="4" t="str">
        <f>VLOOKUP(ui!B$2,dropdown!M:O,3,FALSE)</f>
        <v>LIC</v>
      </c>
      <c r="K534" s="4"/>
      <c r="L534" s="4"/>
      <c r="M534" s="4"/>
      <c r="N534" s="4">
        <f>ui!C$56</f>
        <v>10</v>
      </c>
      <c r="O534" s="4"/>
      <c r="P534" s="4"/>
      <c r="Q534" s="4"/>
      <c r="R534" s="4">
        <f>ui!D$56</f>
        <v>30</v>
      </c>
      <c r="S534" s="4"/>
      <c r="T534" s="4"/>
      <c r="U534" s="4"/>
      <c r="V534" s="4"/>
      <c r="W534" s="4"/>
      <c r="X534" s="4"/>
      <c r="Y534" s="4"/>
      <c r="Z534" s="4"/>
      <c r="AA534" t="b">
        <f>VLOOKUP(E534,ui!A$56:B$56,2,FALSE)</f>
        <v>1</v>
      </c>
    </row>
    <row r="535" spans="1:27" hidden="1" x14ac:dyDescent="0.25">
      <c r="A535" s="2" t="s">
        <v>26</v>
      </c>
      <c r="B535" s="2">
        <f>IF(COUNTIF(dropdown!B$2:B$12,all_inputs!A535)=1,1,IF(COUNTIF(dropdown!C$2:C$4,all_inputs!A535)=1,2,IF(COUNTIF(dropdown!D$2:D$3,all_inputs!A535)=1,3,"?")))</f>
        <v>1</v>
      </c>
      <c r="C535" s="2" t="s">
        <v>18</v>
      </c>
      <c r="D535" s="2" t="s">
        <v>469</v>
      </c>
      <c r="E535" s="2" t="s">
        <v>473</v>
      </c>
      <c r="F535" s="2">
        <f>IF(AND(all_inputs!E535=dropdown!AC$8, COUNTIF(dropdown!AC$9:AC$19,all_inputs!A535)=1), dropdown!X$14, 1)</f>
        <v>1</v>
      </c>
      <c r="G535" s="5">
        <f>ui!B$4</f>
        <v>2025</v>
      </c>
      <c r="H535" s="5">
        <f>ui!B$5</f>
        <v>2050</v>
      </c>
      <c r="I535" s="5" t="s">
        <v>93</v>
      </c>
      <c r="J535" s="5" t="str">
        <f>VLOOKUP(ui!B$2,dropdown!M:O,3,FALSE)</f>
        <v>LIC</v>
      </c>
      <c r="K535" s="5"/>
      <c r="L535" s="5"/>
      <c r="M535" s="5"/>
      <c r="N535" s="5">
        <f>ui!C$56</f>
        <v>10</v>
      </c>
      <c r="O535" s="5"/>
      <c r="P535" s="5"/>
      <c r="Q535" s="5"/>
      <c r="R535" s="5">
        <f>ui!D$56</f>
        <v>30</v>
      </c>
      <c r="S535" s="5"/>
      <c r="T535" s="5"/>
      <c r="U535" s="5"/>
      <c r="V535" s="5"/>
      <c r="W535" s="5"/>
      <c r="X535" s="5"/>
      <c r="Y535" s="5"/>
      <c r="Z535" s="5"/>
      <c r="AA535" s="2" t="b">
        <f>VLOOKUP(E535,ui!A$56:B$56,2,FALSE)</f>
        <v>1</v>
      </c>
    </row>
    <row r="536" spans="1:27" hidden="1" x14ac:dyDescent="0.25">
      <c r="A536" t="s">
        <v>27</v>
      </c>
      <c r="B536">
        <f>IF(COUNTIF(dropdown!B$2:B$12,all_inputs!A536)=1,1,IF(COUNTIF(dropdown!C$2:C$4,all_inputs!A536)=1,2,IF(COUNTIF(dropdown!D$2:D$3,all_inputs!A536)=1,3,"?")))</f>
        <v>1</v>
      </c>
      <c r="C536" t="s">
        <v>13</v>
      </c>
      <c r="D536" t="s">
        <v>472</v>
      </c>
      <c r="E536" t="s">
        <v>473</v>
      </c>
      <c r="F536" s="4">
        <f>IF(AND(all_inputs!E536=dropdown!AC$8, COUNTIF(dropdown!AC$9:AC$19,all_inputs!A536)=1), dropdown!X$9, 1)</f>
        <v>1</v>
      </c>
      <c r="G536" s="4">
        <f>ui!B$4</f>
        <v>2025</v>
      </c>
      <c r="H536" s="4">
        <f>ui!B$5</f>
        <v>2050</v>
      </c>
      <c r="I536" s="4" t="s">
        <v>93</v>
      </c>
      <c r="J536" s="4" t="str">
        <f>VLOOKUP(ui!B$2,dropdown!M:O,3,FALSE)</f>
        <v>LIC</v>
      </c>
      <c r="K536" s="4"/>
      <c r="L536" s="4"/>
      <c r="M536" s="4"/>
      <c r="N536" s="4">
        <f>ui!C$56</f>
        <v>10</v>
      </c>
      <c r="O536" s="4"/>
      <c r="P536" s="4"/>
      <c r="Q536" s="4"/>
      <c r="R536" s="4">
        <f>ui!D$56</f>
        <v>30</v>
      </c>
      <c r="S536" s="4"/>
      <c r="T536" s="4"/>
      <c r="U536" s="4"/>
      <c r="V536" s="4"/>
      <c r="W536" s="4"/>
      <c r="X536" s="4"/>
      <c r="Y536" s="4"/>
      <c r="Z536" s="4"/>
      <c r="AA536" t="b">
        <f>VLOOKUP(E536,ui!A$56:B$56,2,FALSE)</f>
        <v>1</v>
      </c>
    </row>
    <row r="537" spans="1:27" hidden="1" x14ac:dyDescent="0.25">
      <c r="A537" t="s">
        <v>27</v>
      </c>
      <c r="B537">
        <f>IF(COUNTIF(dropdown!B$2:B$12,all_inputs!A537)=1,1,IF(COUNTIF(dropdown!C$2:C$4,all_inputs!A537)=1,2,IF(COUNTIF(dropdown!D$2:D$3,all_inputs!A537)=1,3,"?")))</f>
        <v>1</v>
      </c>
      <c r="C537" t="s">
        <v>14</v>
      </c>
      <c r="D537" t="s">
        <v>466</v>
      </c>
      <c r="E537" t="s">
        <v>473</v>
      </c>
      <c r="F537">
        <f>IF(AND(all_inputs!E537=dropdown!AC$8, COUNTIF(dropdown!AC$9:AC$19,all_inputs!A537)=1), dropdown!X$10, 1)</f>
        <v>1</v>
      </c>
      <c r="G537" s="4">
        <f>ui!B$4</f>
        <v>2025</v>
      </c>
      <c r="H537" s="4">
        <f>ui!B$5</f>
        <v>2050</v>
      </c>
      <c r="I537" s="4" t="s">
        <v>93</v>
      </c>
      <c r="J537" s="4" t="str">
        <f>VLOOKUP(ui!B$2,dropdown!M:O,3,FALSE)</f>
        <v>LIC</v>
      </c>
      <c r="K537" s="4"/>
      <c r="L537" s="4"/>
      <c r="M537" s="4"/>
      <c r="N537" s="4">
        <f>ui!C$56</f>
        <v>10</v>
      </c>
      <c r="O537" s="4"/>
      <c r="P537" s="4"/>
      <c r="Q537" s="4"/>
      <c r="R537" s="4">
        <f>ui!D$56</f>
        <v>30</v>
      </c>
      <c r="S537" s="4"/>
      <c r="T537" s="4"/>
      <c r="U537" s="4"/>
      <c r="V537" s="4"/>
      <c r="W537" s="4"/>
      <c r="X537" s="4"/>
      <c r="Y537" s="4"/>
      <c r="Z537" s="4"/>
      <c r="AA537" t="b">
        <f>VLOOKUP(E537,ui!A$56:B$56,2,FALSE)</f>
        <v>1</v>
      </c>
    </row>
    <row r="538" spans="1:27" hidden="1" x14ac:dyDescent="0.25">
      <c r="A538" t="s">
        <v>27</v>
      </c>
      <c r="B538">
        <f>IF(COUNTIF(dropdown!B$2:B$12,all_inputs!A538)=1,1,IF(COUNTIF(dropdown!C$2:C$4,all_inputs!A538)=1,2,IF(COUNTIF(dropdown!D$2:D$3,all_inputs!A538)=1,3,"?")))</f>
        <v>1</v>
      </c>
      <c r="C538" t="s">
        <v>15</v>
      </c>
      <c r="D538" t="s">
        <v>466</v>
      </c>
      <c r="E538" t="s">
        <v>473</v>
      </c>
      <c r="F538" s="4">
        <f>IF(AND(all_inputs!E538=dropdown!AC$8, COUNTIF(dropdown!AC$9:AC$19,all_inputs!A538)=1), dropdown!X$11, 1)</f>
        <v>1</v>
      </c>
      <c r="G538" s="4">
        <f>ui!B$4</f>
        <v>2025</v>
      </c>
      <c r="H538" s="4">
        <f>ui!B$5</f>
        <v>2050</v>
      </c>
      <c r="I538" s="4" t="s">
        <v>93</v>
      </c>
      <c r="J538" s="4" t="str">
        <f>VLOOKUP(ui!B$2,dropdown!M:O,3,FALSE)</f>
        <v>LIC</v>
      </c>
      <c r="K538" s="4"/>
      <c r="L538" s="4"/>
      <c r="M538" s="4"/>
      <c r="N538" s="4">
        <f>ui!C$56</f>
        <v>10</v>
      </c>
      <c r="O538" s="4"/>
      <c r="P538" s="4"/>
      <c r="Q538" s="4"/>
      <c r="R538" s="4">
        <f>ui!D$56</f>
        <v>30</v>
      </c>
      <c r="S538" s="4"/>
      <c r="T538" s="4"/>
      <c r="U538" s="4"/>
      <c r="V538" s="4"/>
      <c r="W538" s="4"/>
      <c r="X538" s="4"/>
      <c r="Y538" s="4"/>
      <c r="Z538" s="4"/>
      <c r="AA538" t="b">
        <f>VLOOKUP(E538,ui!A$56:B$56,2,FALSE)</f>
        <v>1</v>
      </c>
    </row>
    <row r="539" spans="1:27" hidden="1" x14ac:dyDescent="0.25">
      <c r="A539" t="s">
        <v>27</v>
      </c>
      <c r="B539">
        <f>IF(COUNTIF(dropdown!B$2:B$12,all_inputs!A539)=1,1,IF(COUNTIF(dropdown!C$2:C$4,all_inputs!A539)=1,2,IF(COUNTIF(dropdown!D$2:D$3,all_inputs!A539)=1,3,"?")))</f>
        <v>1</v>
      </c>
      <c r="C539" t="s">
        <v>16</v>
      </c>
      <c r="D539" t="s">
        <v>467</v>
      </c>
      <c r="E539" t="s">
        <v>473</v>
      </c>
      <c r="F539" s="4">
        <f>IF(AND(all_inputs!E539=dropdown!AC$8, COUNTIF(dropdown!AC$9:AC$19,all_inputs!A539)=1), dropdown!X$12, 1)</f>
        <v>1</v>
      </c>
      <c r="G539" s="4">
        <f>ui!B$4</f>
        <v>2025</v>
      </c>
      <c r="H539" s="4">
        <f>ui!B$5</f>
        <v>2050</v>
      </c>
      <c r="I539" s="4" t="s">
        <v>93</v>
      </c>
      <c r="J539" s="4" t="str">
        <f>VLOOKUP(ui!B$2,dropdown!M:O,3,FALSE)</f>
        <v>LIC</v>
      </c>
      <c r="K539" s="4"/>
      <c r="L539" s="4"/>
      <c r="M539" s="4"/>
      <c r="N539" s="4">
        <f>ui!C$56</f>
        <v>10</v>
      </c>
      <c r="O539" s="4"/>
      <c r="P539" s="4"/>
      <c r="Q539" s="4"/>
      <c r="R539" s="4">
        <f>ui!D$56</f>
        <v>30</v>
      </c>
      <c r="S539" s="4"/>
      <c r="T539" s="4"/>
      <c r="U539" s="4"/>
      <c r="V539" s="4"/>
      <c r="W539" s="4"/>
      <c r="X539" s="4"/>
      <c r="Y539" s="4"/>
      <c r="Z539" s="4"/>
      <c r="AA539" t="b">
        <f>VLOOKUP(E539,ui!A$56:B$56,2,FALSE)</f>
        <v>1</v>
      </c>
    </row>
    <row r="540" spans="1:27" hidden="1" x14ac:dyDescent="0.25">
      <c r="A540" t="s">
        <v>27</v>
      </c>
      <c r="B540">
        <f>IF(COUNTIF(dropdown!B$2:B$12,all_inputs!A540)=1,1,IF(COUNTIF(dropdown!C$2:C$4,all_inputs!A540)=1,2,IF(COUNTIF(dropdown!D$2:D$3,all_inputs!A540)=1,3,"?")))</f>
        <v>1</v>
      </c>
      <c r="C540" t="s">
        <v>17</v>
      </c>
      <c r="D540" t="s">
        <v>468</v>
      </c>
      <c r="E540" t="s">
        <v>473</v>
      </c>
      <c r="F540" s="4">
        <f>IF(AND(all_inputs!E540=dropdown!AC$8, COUNTIF(dropdown!AC$9:AC$19,all_inputs!A540)=1), dropdown!X$13, 1)</f>
        <v>1</v>
      </c>
      <c r="G540" s="4">
        <f>ui!B$4</f>
        <v>2025</v>
      </c>
      <c r="H540" s="4">
        <f>ui!B$5</f>
        <v>2050</v>
      </c>
      <c r="I540" s="4" t="s">
        <v>93</v>
      </c>
      <c r="J540" s="4" t="str">
        <f>VLOOKUP(ui!B$2,dropdown!M:O,3,FALSE)</f>
        <v>LIC</v>
      </c>
      <c r="K540" s="4"/>
      <c r="L540" s="4"/>
      <c r="M540" s="4"/>
      <c r="N540" s="4">
        <f>ui!C$56</f>
        <v>10</v>
      </c>
      <c r="O540" s="4"/>
      <c r="P540" s="4"/>
      <c r="Q540" s="4"/>
      <c r="R540" s="4">
        <f>ui!D$56</f>
        <v>30</v>
      </c>
      <c r="S540" s="4"/>
      <c r="T540" s="4"/>
      <c r="U540" s="4"/>
      <c r="V540" s="4"/>
      <c r="W540" s="4"/>
      <c r="X540" s="4"/>
      <c r="Y540" s="4"/>
      <c r="Z540" s="4"/>
      <c r="AA540" t="b">
        <f>VLOOKUP(E540,ui!A$56:B$56,2,FALSE)</f>
        <v>1</v>
      </c>
    </row>
    <row r="541" spans="1:27" hidden="1" x14ac:dyDescent="0.25">
      <c r="A541" s="2" t="s">
        <v>27</v>
      </c>
      <c r="B541" s="2">
        <f>IF(COUNTIF(dropdown!B$2:B$12,all_inputs!A541)=1,1,IF(COUNTIF(dropdown!C$2:C$4,all_inputs!A541)=1,2,IF(COUNTIF(dropdown!D$2:D$3,all_inputs!A541)=1,3,"?")))</f>
        <v>1</v>
      </c>
      <c r="C541" s="2" t="s">
        <v>18</v>
      </c>
      <c r="D541" s="2" t="s">
        <v>469</v>
      </c>
      <c r="E541" s="2" t="s">
        <v>473</v>
      </c>
      <c r="F541" s="2">
        <f>IF(AND(all_inputs!E541=dropdown!AC$8, COUNTIF(dropdown!AC$9:AC$19,all_inputs!A541)=1), dropdown!X$14, 1)</f>
        <v>1</v>
      </c>
      <c r="G541" s="5">
        <f>ui!B$4</f>
        <v>2025</v>
      </c>
      <c r="H541" s="5">
        <f>ui!B$5</f>
        <v>2050</v>
      </c>
      <c r="I541" s="5" t="s">
        <v>93</v>
      </c>
      <c r="J541" s="5" t="str">
        <f>VLOOKUP(ui!B$2,dropdown!M:O,3,FALSE)</f>
        <v>LIC</v>
      </c>
      <c r="K541" s="5"/>
      <c r="L541" s="5"/>
      <c r="M541" s="5"/>
      <c r="N541" s="5">
        <f>ui!C$56</f>
        <v>10</v>
      </c>
      <c r="O541" s="5"/>
      <c r="P541" s="5"/>
      <c r="Q541" s="5"/>
      <c r="R541" s="5">
        <f>ui!D$56</f>
        <v>30</v>
      </c>
      <c r="S541" s="5"/>
      <c r="T541" s="5"/>
      <c r="U541" s="5"/>
      <c r="V541" s="5"/>
      <c r="W541" s="5"/>
      <c r="X541" s="5"/>
      <c r="Y541" s="5"/>
      <c r="Z541" s="5"/>
      <c r="AA541" s="2" t="b">
        <f>VLOOKUP(E541,ui!A$56:B$56,2,FALSE)</f>
        <v>1</v>
      </c>
    </row>
    <row r="542" spans="1:27" hidden="1" x14ac:dyDescent="0.25">
      <c r="A542" t="s">
        <v>28</v>
      </c>
      <c r="B542">
        <f>IF(COUNTIF(dropdown!B$2:B$12,all_inputs!A542)=1,1,IF(COUNTIF(dropdown!C$2:C$4,all_inputs!A542)=1,2,IF(COUNTIF(dropdown!D$2:D$3,all_inputs!A542)=1,3,"?")))</f>
        <v>1</v>
      </c>
      <c r="C542" t="s">
        <v>13</v>
      </c>
      <c r="D542" t="s">
        <v>472</v>
      </c>
      <c r="E542" t="s">
        <v>473</v>
      </c>
      <c r="F542" s="4">
        <f>IF(AND(all_inputs!E542=dropdown!AC$8, COUNTIF(dropdown!AC$9:AC$19,all_inputs!A542)=1), dropdown!X$9, 1)</f>
        <v>1</v>
      </c>
      <c r="G542" s="4">
        <f>ui!B$4</f>
        <v>2025</v>
      </c>
      <c r="H542" s="4">
        <f>ui!B$5</f>
        <v>2050</v>
      </c>
      <c r="I542" s="4" t="s">
        <v>93</v>
      </c>
      <c r="J542" s="4" t="str">
        <f>VLOOKUP(ui!B$2,dropdown!M:O,3,FALSE)</f>
        <v>LIC</v>
      </c>
      <c r="K542" s="4"/>
      <c r="L542" s="4"/>
      <c r="M542" s="4"/>
      <c r="N542" s="4">
        <f>ui!C$56</f>
        <v>10</v>
      </c>
      <c r="O542" s="4"/>
      <c r="P542" s="4"/>
      <c r="Q542" s="4"/>
      <c r="R542" s="4">
        <f>ui!D$56</f>
        <v>30</v>
      </c>
      <c r="S542" s="4"/>
      <c r="T542" s="4"/>
      <c r="U542" s="4"/>
      <c r="V542" s="4"/>
      <c r="W542" s="4"/>
      <c r="X542" s="4"/>
      <c r="Y542" s="4"/>
      <c r="Z542" s="4"/>
      <c r="AA542" t="b">
        <f>VLOOKUP(E542,ui!A$56:B$56,2,FALSE)</f>
        <v>1</v>
      </c>
    </row>
    <row r="543" spans="1:27" hidden="1" x14ac:dyDescent="0.25">
      <c r="A543" t="s">
        <v>28</v>
      </c>
      <c r="B543">
        <f>IF(COUNTIF(dropdown!B$2:B$12,all_inputs!A543)=1,1,IF(COUNTIF(dropdown!C$2:C$4,all_inputs!A543)=1,2,IF(COUNTIF(dropdown!D$2:D$3,all_inputs!A543)=1,3,"?")))</f>
        <v>1</v>
      </c>
      <c r="C543" t="s">
        <v>14</v>
      </c>
      <c r="D543" t="s">
        <v>466</v>
      </c>
      <c r="E543" t="s">
        <v>473</v>
      </c>
      <c r="F543">
        <f>IF(AND(all_inputs!E543=dropdown!AC$8, COUNTIF(dropdown!AC$9:AC$19,all_inputs!A543)=1), dropdown!X$10, 1)</f>
        <v>1</v>
      </c>
      <c r="G543" s="4">
        <f>ui!B$4</f>
        <v>2025</v>
      </c>
      <c r="H543" s="4">
        <f>ui!B$5</f>
        <v>2050</v>
      </c>
      <c r="I543" s="4" t="s">
        <v>93</v>
      </c>
      <c r="J543" s="4" t="str">
        <f>VLOOKUP(ui!B$2,dropdown!M:O,3,FALSE)</f>
        <v>LIC</v>
      </c>
      <c r="K543" s="4"/>
      <c r="L543" s="4"/>
      <c r="M543" s="4"/>
      <c r="N543" s="4">
        <f>ui!C$56</f>
        <v>10</v>
      </c>
      <c r="O543" s="4"/>
      <c r="P543" s="4"/>
      <c r="Q543" s="4"/>
      <c r="R543" s="4">
        <f>ui!D$56</f>
        <v>30</v>
      </c>
      <c r="S543" s="4"/>
      <c r="T543" s="4"/>
      <c r="U543" s="4"/>
      <c r="V543" s="4"/>
      <c r="W543" s="4"/>
      <c r="X543" s="4"/>
      <c r="Y543" s="4"/>
      <c r="Z543" s="4"/>
      <c r="AA543" t="b">
        <f>VLOOKUP(E543,ui!A$56:B$56,2,FALSE)</f>
        <v>1</v>
      </c>
    </row>
    <row r="544" spans="1:27" hidden="1" x14ac:dyDescent="0.25">
      <c r="A544" t="s">
        <v>28</v>
      </c>
      <c r="B544">
        <f>IF(COUNTIF(dropdown!B$2:B$12,all_inputs!A544)=1,1,IF(COUNTIF(dropdown!C$2:C$4,all_inputs!A544)=1,2,IF(COUNTIF(dropdown!D$2:D$3,all_inputs!A544)=1,3,"?")))</f>
        <v>1</v>
      </c>
      <c r="C544" t="s">
        <v>15</v>
      </c>
      <c r="D544" t="s">
        <v>466</v>
      </c>
      <c r="E544" t="s">
        <v>473</v>
      </c>
      <c r="F544" s="4">
        <f>IF(AND(all_inputs!E544=dropdown!AC$8, COUNTIF(dropdown!AC$9:AC$19,all_inputs!A544)=1), dropdown!X$11, 1)</f>
        <v>1</v>
      </c>
      <c r="G544" s="4">
        <f>ui!B$4</f>
        <v>2025</v>
      </c>
      <c r="H544" s="4">
        <f>ui!B$5</f>
        <v>2050</v>
      </c>
      <c r="I544" s="4" t="s">
        <v>93</v>
      </c>
      <c r="J544" s="4" t="str">
        <f>VLOOKUP(ui!B$2,dropdown!M:O,3,FALSE)</f>
        <v>LIC</v>
      </c>
      <c r="K544" s="4"/>
      <c r="L544" s="4"/>
      <c r="M544" s="4"/>
      <c r="N544" s="4">
        <f>ui!C$56</f>
        <v>10</v>
      </c>
      <c r="O544" s="4"/>
      <c r="P544" s="4"/>
      <c r="Q544" s="4"/>
      <c r="R544" s="4">
        <f>ui!D$56</f>
        <v>30</v>
      </c>
      <c r="S544" s="4"/>
      <c r="T544" s="4"/>
      <c r="U544" s="4"/>
      <c r="V544" s="4"/>
      <c r="W544" s="4"/>
      <c r="X544" s="4"/>
      <c r="Y544" s="4"/>
      <c r="Z544" s="4"/>
      <c r="AA544" t="b">
        <f>VLOOKUP(E544,ui!A$56:B$56,2,FALSE)</f>
        <v>1</v>
      </c>
    </row>
    <row r="545" spans="1:27" hidden="1" x14ac:dyDescent="0.25">
      <c r="A545" t="s">
        <v>28</v>
      </c>
      <c r="B545">
        <f>IF(COUNTIF(dropdown!B$2:B$12,all_inputs!A545)=1,1,IF(COUNTIF(dropdown!C$2:C$4,all_inputs!A545)=1,2,IF(COUNTIF(dropdown!D$2:D$3,all_inputs!A545)=1,3,"?")))</f>
        <v>1</v>
      </c>
      <c r="C545" t="s">
        <v>16</v>
      </c>
      <c r="D545" t="s">
        <v>467</v>
      </c>
      <c r="E545" t="s">
        <v>473</v>
      </c>
      <c r="F545" s="4">
        <f>IF(AND(all_inputs!E545=dropdown!AC$8, COUNTIF(dropdown!AC$9:AC$19,all_inputs!A545)=1), dropdown!X$12, 1)</f>
        <v>1</v>
      </c>
      <c r="G545" s="4">
        <f>ui!B$4</f>
        <v>2025</v>
      </c>
      <c r="H545" s="4">
        <f>ui!B$5</f>
        <v>2050</v>
      </c>
      <c r="I545" s="4" t="s">
        <v>93</v>
      </c>
      <c r="J545" s="4" t="str">
        <f>VLOOKUP(ui!B$2,dropdown!M:O,3,FALSE)</f>
        <v>LIC</v>
      </c>
      <c r="K545" s="4"/>
      <c r="L545" s="4"/>
      <c r="M545" s="4"/>
      <c r="N545" s="4">
        <f>ui!C$56</f>
        <v>10</v>
      </c>
      <c r="O545" s="4"/>
      <c r="P545" s="4"/>
      <c r="Q545" s="4"/>
      <c r="R545" s="4">
        <f>ui!D$56</f>
        <v>30</v>
      </c>
      <c r="S545" s="4"/>
      <c r="T545" s="4"/>
      <c r="U545" s="4"/>
      <c r="V545" s="4"/>
      <c r="W545" s="4"/>
      <c r="X545" s="4"/>
      <c r="Y545" s="4"/>
      <c r="Z545" s="4"/>
      <c r="AA545" t="b">
        <f>VLOOKUP(E545,ui!A$56:B$56,2,FALSE)</f>
        <v>1</v>
      </c>
    </row>
    <row r="546" spans="1:27" hidden="1" x14ac:dyDescent="0.25">
      <c r="A546" t="s">
        <v>28</v>
      </c>
      <c r="B546">
        <f>IF(COUNTIF(dropdown!B$2:B$12,all_inputs!A546)=1,1,IF(COUNTIF(dropdown!C$2:C$4,all_inputs!A546)=1,2,IF(COUNTIF(dropdown!D$2:D$3,all_inputs!A546)=1,3,"?")))</f>
        <v>1</v>
      </c>
      <c r="C546" t="s">
        <v>17</v>
      </c>
      <c r="D546" t="s">
        <v>468</v>
      </c>
      <c r="E546" t="s">
        <v>473</v>
      </c>
      <c r="F546" s="4">
        <f>IF(AND(all_inputs!E546=dropdown!AC$8, COUNTIF(dropdown!AC$9:AC$19,all_inputs!A546)=1), dropdown!X$13, 1)</f>
        <v>1</v>
      </c>
      <c r="G546" s="4">
        <f>ui!B$4</f>
        <v>2025</v>
      </c>
      <c r="H546" s="4">
        <f>ui!B$5</f>
        <v>2050</v>
      </c>
      <c r="I546" s="4" t="s">
        <v>93</v>
      </c>
      <c r="J546" s="4" t="str">
        <f>VLOOKUP(ui!B$2,dropdown!M:O,3,FALSE)</f>
        <v>LIC</v>
      </c>
      <c r="K546" s="4"/>
      <c r="L546" s="4"/>
      <c r="M546" s="4"/>
      <c r="N546" s="4">
        <f>ui!C$56</f>
        <v>10</v>
      </c>
      <c r="O546" s="4"/>
      <c r="P546" s="4"/>
      <c r="Q546" s="4"/>
      <c r="R546" s="4">
        <f>ui!D$56</f>
        <v>30</v>
      </c>
      <c r="S546" s="4"/>
      <c r="T546" s="4"/>
      <c r="U546" s="4"/>
      <c r="V546" s="4"/>
      <c r="W546" s="4"/>
      <c r="X546" s="4"/>
      <c r="Y546" s="4"/>
      <c r="Z546" s="4"/>
      <c r="AA546" t="b">
        <f>VLOOKUP(E546,ui!A$56:B$56,2,FALSE)</f>
        <v>1</v>
      </c>
    </row>
    <row r="547" spans="1:27" hidden="1" x14ac:dyDescent="0.25">
      <c r="A547" s="2" t="s">
        <v>28</v>
      </c>
      <c r="B547" s="2">
        <f>IF(COUNTIF(dropdown!B$2:B$12,all_inputs!A547)=1,1,IF(COUNTIF(dropdown!C$2:C$4,all_inputs!A547)=1,2,IF(COUNTIF(dropdown!D$2:D$3,all_inputs!A547)=1,3,"?")))</f>
        <v>1</v>
      </c>
      <c r="C547" s="2" t="s">
        <v>18</v>
      </c>
      <c r="D547" s="2" t="s">
        <v>469</v>
      </c>
      <c r="E547" s="2" t="s">
        <v>473</v>
      </c>
      <c r="F547" s="2">
        <f>IF(AND(all_inputs!E547=dropdown!AC$8, COUNTIF(dropdown!AC$9:AC$19,all_inputs!A547)=1), dropdown!X$14, 1)</f>
        <v>1</v>
      </c>
      <c r="G547" s="5">
        <f>ui!B$4</f>
        <v>2025</v>
      </c>
      <c r="H547" s="5">
        <f>ui!B$5</f>
        <v>2050</v>
      </c>
      <c r="I547" s="5" t="s">
        <v>93</v>
      </c>
      <c r="J547" s="5" t="str">
        <f>VLOOKUP(ui!B$2,dropdown!M:O,3,FALSE)</f>
        <v>LIC</v>
      </c>
      <c r="K547" s="5"/>
      <c r="L547" s="5"/>
      <c r="M547" s="5"/>
      <c r="N547" s="5">
        <f>ui!C$56</f>
        <v>10</v>
      </c>
      <c r="O547" s="5"/>
      <c r="P547" s="5"/>
      <c r="Q547" s="5"/>
      <c r="R547" s="5">
        <f>ui!D$56</f>
        <v>30</v>
      </c>
      <c r="S547" s="5"/>
      <c r="T547" s="5"/>
      <c r="U547" s="5"/>
      <c r="V547" s="5"/>
      <c r="W547" s="5"/>
      <c r="X547" s="5"/>
      <c r="Y547" s="5"/>
      <c r="Z547" s="5"/>
      <c r="AA547" s="2" t="b">
        <f>VLOOKUP(E547,ui!A$56:B$56,2,FALSE)</f>
        <v>1</v>
      </c>
    </row>
    <row r="548" spans="1:27" hidden="1" x14ac:dyDescent="0.25">
      <c r="A548" t="s">
        <v>29</v>
      </c>
      <c r="B548">
        <f>IF(COUNTIF(dropdown!B$2:B$12,all_inputs!A548)=1,1,IF(COUNTIF(dropdown!C$2:C$4,all_inputs!A548)=1,2,IF(COUNTIF(dropdown!D$2:D$3,all_inputs!A548)=1,3,"?")))</f>
        <v>2</v>
      </c>
      <c r="C548" t="s">
        <v>13</v>
      </c>
      <c r="D548" t="s">
        <v>472</v>
      </c>
      <c r="E548" t="s">
        <v>473</v>
      </c>
      <c r="F548" s="4">
        <f>IF(AND(all_inputs!E548=dropdown!AC$8, COUNTIF(dropdown!AC$9:AC$19,all_inputs!A548)=1), dropdown!X$9, 1)</f>
        <v>1</v>
      </c>
      <c r="G548" s="4">
        <f>ui!B$4</f>
        <v>2025</v>
      </c>
      <c r="H548" s="4">
        <f>ui!B$5</f>
        <v>2050</v>
      </c>
      <c r="I548" s="4" t="s">
        <v>93</v>
      </c>
      <c r="J548" s="4" t="str">
        <f>VLOOKUP(ui!B$2,dropdown!M:O,3,FALSE)</f>
        <v>LIC</v>
      </c>
      <c r="K548" s="4"/>
      <c r="L548" s="4"/>
      <c r="M548" s="4"/>
      <c r="N548" s="4">
        <f>ui!C$56</f>
        <v>10</v>
      </c>
      <c r="O548" s="4"/>
      <c r="P548" s="4"/>
      <c r="Q548" s="4"/>
      <c r="R548" s="4">
        <f>ui!D$56</f>
        <v>30</v>
      </c>
      <c r="S548" s="4"/>
      <c r="T548" s="4"/>
      <c r="U548" s="4"/>
      <c r="V548" s="4"/>
      <c r="W548" s="4"/>
      <c r="X548" s="4"/>
      <c r="Y548" s="4"/>
      <c r="Z548" s="4"/>
      <c r="AA548" t="b">
        <f>VLOOKUP(E548,ui!A$56:B$56,2,FALSE)</f>
        <v>1</v>
      </c>
    </row>
    <row r="549" spans="1:27" hidden="1" x14ac:dyDescent="0.25">
      <c r="A549" t="s">
        <v>29</v>
      </c>
      <c r="B549">
        <f>IF(COUNTIF(dropdown!B$2:B$12,all_inputs!A549)=1,1,IF(COUNTIF(dropdown!C$2:C$4,all_inputs!A549)=1,2,IF(COUNTIF(dropdown!D$2:D$3,all_inputs!A549)=1,3,"?")))</f>
        <v>2</v>
      </c>
      <c r="C549" t="s">
        <v>14</v>
      </c>
      <c r="D549" t="s">
        <v>466</v>
      </c>
      <c r="E549" t="s">
        <v>473</v>
      </c>
      <c r="F549">
        <f>IF(AND(all_inputs!E549=dropdown!AC$8, COUNTIF(dropdown!AC$9:AC$19,all_inputs!A549)=1), dropdown!X$10, 1)</f>
        <v>1</v>
      </c>
      <c r="G549" s="4">
        <f>ui!B$4</f>
        <v>2025</v>
      </c>
      <c r="H549" s="4">
        <f>ui!B$5</f>
        <v>2050</v>
      </c>
      <c r="I549" s="4" t="s">
        <v>93</v>
      </c>
      <c r="J549" s="4" t="str">
        <f>VLOOKUP(ui!B$2,dropdown!M:O,3,FALSE)</f>
        <v>LIC</v>
      </c>
      <c r="K549" s="4"/>
      <c r="L549" s="4"/>
      <c r="M549" s="4"/>
      <c r="N549" s="4">
        <f>ui!C$56</f>
        <v>10</v>
      </c>
      <c r="O549" s="4"/>
      <c r="P549" s="4"/>
      <c r="Q549" s="4"/>
      <c r="R549" s="4">
        <f>ui!D$56</f>
        <v>30</v>
      </c>
      <c r="S549" s="4"/>
      <c r="T549" s="4"/>
      <c r="U549" s="4"/>
      <c r="V549" s="4"/>
      <c r="W549" s="4"/>
      <c r="X549" s="4"/>
      <c r="Y549" s="4"/>
      <c r="Z549" s="4"/>
      <c r="AA549" t="b">
        <f>VLOOKUP(E549,ui!A$56:B$56,2,FALSE)</f>
        <v>1</v>
      </c>
    </row>
    <row r="550" spans="1:27" hidden="1" x14ac:dyDescent="0.25">
      <c r="A550" t="s">
        <v>29</v>
      </c>
      <c r="B550">
        <f>IF(COUNTIF(dropdown!B$2:B$12,all_inputs!A550)=1,1,IF(COUNTIF(dropdown!C$2:C$4,all_inputs!A550)=1,2,IF(COUNTIF(dropdown!D$2:D$3,all_inputs!A550)=1,3,"?")))</f>
        <v>2</v>
      </c>
      <c r="C550" t="s">
        <v>15</v>
      </c>
      <c r="D550" t="s">
        <v>466</v>
      </c>
      <c r="E550" t="s">
        <v>473</v>
      </c>
      <c r="F550" s="4">
        <f>IF(AND(all_inputs!E550=dropdown!AC$8, COUNTIF(dropdown!AC$9:AC$19,all_inputs!A550)=1), dropdown!X$11, 1)</f>
        <v>1</v>
      </c>
      <c r="G550" s="4">
        <f>ui!B$4</f>
        <v>2025</v>
      </c>
      <c r="H550" s="4">
        <f>ui!B$5</f>
        <v>2050</v>
      </c>
      <c r="I550" s="4" t="s">
        <v>93</v>
      </c>
      <c r="J550" s="4" t="str">
        <f>VLOOKUP(ui!B$2,dropdown!M:O,3,FALSE)</f>
        <v>LIC</v>
      </c>
      <c r="K550" s="4"/>
      <c r="L550" s="4"/>
      <c r="M550" s="4"/>
      <c r="N550" s="4">
        <f>ui!C$56</f>
        <v>10</v>
      </c>
      <c r="O550" s="4"/>
      <c r="P550" s="4"/>
      <c r="Q550" s="4"/>
      <c r="R550" s="4">
        <f>ui!D$56</f>
        <v>30</v>
      </c>
      <c r="S550" s="4"/>
      <c r="T550" s="4"/>
      <c r="U550" s="4"/>
      <c r="V550" s="4"/>
      <c r="W550" s="4"/>
      <c r="X550" s="4"/>
      <c r="Y550" s="4"/>
      <c r="Z550" s="4"/>
      <c r="AA550" t="b">
        <f>VLOOKUP(E550,ui!A$56:B$56,2,FALSE)</f>
        <v>1</v>
      </c>
    </row>
    <row r="551" spans="1:27" hidden="1" x14ac:dyDescent="0.25">
      <c r="A551" t="s">
        <v>29</v>
      </c>
      <c r="B551">
        <f>IF(COUNTIF(dropdown!B$2:B$12,all_inputs!A551)=1,1,IF(COUNTIF(dropdown!C$2:C$4,all_inputs!A551)=1,2,IF(COUNTIF(dropdown!D$2:D$3,all_inputs!A551)=1,3,"?")))</f>
        <v>2</v>
      </c>
      <c r="C551" t="s">
        <v>16</v>
      </c>
      <c r="D551" t="s">
        <v>467</v>
      </c>
      <c r="E551" t="s">
        <v>473</v>
      </c>
      <c r="F551">
        <f>IF(AND(all_inputs!E551=dropdown!AC$8, COUNTIF(dropdown!AC$9:AC$19,all_inputs!A551)=1), dropdown!X$12, 1)</f>
        <v>1</v>
      </c>
      <c r="G551" s="4">
        <f>ui!B$4</f>
        <v>2025</v>
      </c>
      <c r="H551" s="4">
        <f>ui!B$5</f>
        <v>2050</v>
      </c>
      <c r="I551" s="4" t="s">
        <v>93</v>
      </c>
      <c r="J551" s="4" t="str">
        <f>VLOOKUP(ui!B$2,dropdown!M:O,3,FALSE)</f>
        <v>LIC</v>
      </c>
      <c r="K551" s="4"/>
      <c r="L551" s="4"/>
      <c r="M551" s="4"/>
      <c r="N551" s="4">
        <f>ui!C$56</f>
        <v>10</v>
      </c>
      <c r="O551" s="4"/>
      <c r="P551" s="4"/>
      <c r="Q551" s="4"/>
      <c r="R551" s="4">
        <f>ui!D$56</f>
        <v>30</v>
      </c>
      <c r="S551" s="4"/>
      <c r="T551" s="4"/>
      <c r="U551" s="4"/>
      <c r="V551" s="4"/>
      <c r="W551" s="4"/>
      <c r="X551" s="4"/>
      <c r="Y551" s="4"/>
      <c r="Z551" s="4"/>
      <c r="AA551" t="b">
        <f>VLOOKUP(E551,ui!A$56:B$56,2,FALSE)</f>
        <v>1</v>
      </c>
    </row>
    <row r="552" spans="1:27" hidden="1" x14ac:dyDescent="0.25">
      <c r="A552" t="s">
        <v>29</v>
      </c>
      <c r="B552">
        <f>IF(COUNTIF(dropdown!B$2:B$12,all_inputs!A552)=1,1,IF(COUNTIF(dropdown!C$2:C$4,all_inputs!A552)=1,2,IF(COUNTIF(dropdown!D$2:D$3,all_inputs!A552)=1,3,"?")))</f>
        <v>2</v>
      </c>
      <c r="C552" t="s">
        <v>17</v>
      </c>
      <c r="D552" t="s">
        <v>468</v>
      </c>
      <c r="E552" t="s">
        <v>473</v>
      </c>
      <c r="F552">
        <f>IF(AND(all_inputs!E552=dropdown!AC$8, COUNTIF(dropdown!AC$9:AC$19,all_inputs!A552)=1), dropdown!X$13, 1)</f>
        <v>1</v>
      </c>
      <c r="G552" s="4">
        <f>ui!B$4</f>
        <v>2025</v>
      </c>
      <c r="H552" s="4">
        <f>ui!B$5</f>
        <v>2050</v>
      </c>
      <c r="I552" s="4" t="s">
        <v>93</v>
      </c>
      <c r="J552" s="4" t="str">
        <f>VLOOKUP(ui!B$2,dropdown!M:O,3,FALSE)</f>
        <v>LIC</v>
      </c>
      <c r="K552" s="4"/>
      <c r="L552" s="4"/>
      <c r="M552" s="4"/>
      <c r="N552" s="4">
        <f>ui!C$56</f>
        <v>10</v>
      </c>
      <c r="O552" s="4"/>
      <c r="P552" s="4"/>
      <c r="Q552" s="4"/>
      <c r="R552" s="4">
        <f>ui!D$56</f>
        <v>30</v>
      </c>
      <c r="S552" s="4"/>
      <c r="T552" s="4"/>
      <c r="U552" s="4"/>
      <c r="V552" s="4"/>
      <c r="W552" s="4"/>
      <c r="X552" s="4"/>
      <c r="Y552" s="4"/>
      <c r="Z552" s="4"/>
      <c r="AA552" t="b">
        <f>VLOOKUP(E552,ui!A$56:B$56,2,FALSE)</f>
        <v>1</v>
      </c>
    </row>
    <row r="553" spans="1:27" hidden="1" x14ac:dyDescent="0.25">
      <c r="A553" s="2" t="s">
        <v>29</v>
      </c>
      <c r="B553" s="2">
        <f>IF(COUNTIF(dropdown!B$2:B$12,all_inputs!A553)=1,1,IF(COUNTIF(dropdown!C$2:C$4,all_inputs!A553)=1,2,IF(COUNTIF(dropdown!D$2:D$3,all_inputs!A553)=1,3,"?")))</f>
        <v>2</v>
      </c>
      <c r="C553" s="2" t="s">
        <v>18</v>
      </c>
      <c r="D553" s="2" t="s">
        <v>469</v>
      </c>
      <c r="E553" s="2" t="s">
        <v>473</v>
      </c>
      <c r="F553" s="2">
        <f>IF(AND(all_inputs!E553=dropdown!AC$8, COUNTIF(dropdown!AC$9:AC$19,all_inputs!A553)=1), dropdown!X$14, 1)</f>
        <v>1</v>
      </c>
      <c r="G553" s="5">
        <f>ui!B$4</f>
        <v>2025</v>
      </c>
      <c r="H553" s="5">
        <f>ui!B$5</f>
        <v>2050</v>
      </c>
      <c r="I553" s="5" t="s">
        <v>93</v>
      </c>
      <c r="J553" s="5" t="str">
        <f>VLOOKUP(ui!B$2,dropdown!M:O,3,FALSE)</f>
        <v>LIC</v>
      </c>
      <c r="K553" s="5"/>
      <c r="L553" s="5"/>
      <c r="M553" s="5"/>
      <c r="N553" s="5">
        <f>ui!C$56</f>
        <v>10</v>
      </c>
      <c r="O553" s="5"/>
      <c r="P553" s="5"/>
      <c r="Q553" s="5"/>
      <c r="R553" s="5">
        <f>ui!D$56</f>
        <v>30</v>
      </c>
      <c r="S553" s="5"/>
      <c r="T553" s="5"/>
      <c r="U553" s="5"/>
      <c r="V553" s="5"/>
      <c r="W553" s="5"/>
      <c r="X553" s="5"/>
      <c r="Y553" s="5"/>
      <c r="Z553" s="5"/>
      <c r="AA553" s="2" t="b">
        <f>VLOOKUP(E553,ui!A$56:B$56,2,FALSE)</f>
        <v>1</v>
      </c>
    </row>
    <row r="554" spans="1:27" hidden="1" x14ac:dyDescent="0.25">
      <c r="A554" t="s">
        <v>30</v>
      </c>
      <c r="B554">
        <f>IF(COUNTIF(dropdown!B$2:B$12,all_inputs!A554)=1,1,IF(COUNTIF(dropdown!C$2:C$4,all_inputs!A554)=1,2,IF(COUNTIF(dropdown!D$2:D$3,all_inputs!A554)=1,3,"?")))</f>
        <v>1</v>
      </c>
      <c r="C554" t="s">
        <v>13</v>
      </c>
      <c r="D554" t="s">
        <v>472</v>
      </c>
      <c r="E554" t="s">
        <v>473</v>
      </c>
      <c r="F554" s="4">
        <f>IF(AND(all_inputs!E554=dropdown!AC$8, COUNTIF(dropdown!AC$9:AC$19,all_inputs!A554)=1), dropdown!X$9, 1)</f>
        <v>1</v>
      </c>
      <c r="G554" s="4">
        <f>ui!B$4</f>
        <v>2025</v>
      </c>
      <c r="H554" s="4">
        <f>ui!B$5</f>
        <v>2050</v>
      </c>
      <c r="I554" s="4" t="s">
        <v>93</v>
      </c>
      <c r="J554" s="4" t="str">
        <f>VLOOKUP(ui!B$2,dropdown!M:O,3,FALSE)</f>
        <v>LIC</v>
      </c>
      <c r="K554" s="4"/>
      <c r="L554" s="4"/>
      <c r="M554" s="4"/>
      <c r="N554" s="4">
        <f>ui!C$56</f>
        <v>10</v>
      </c>
      <c r="O554" s="4"/>
      <c r="P554" s="4"/>
      <c r="Q554" s="4"/>
      <c r="R554" s="4">
        <f>ui!D$56</f>
        <v>30</v>
      </c>
      <c r="S554" s="4"/>
      <c r="T554" s="4"/>
      <c r="U554" s="4"/>
      <c r="V554" s="4"/>
      <c r="W554" s="4"/>
      <c r="X554" s="4"/>
      <c r="Y554" s="4"/>
      <c r="Z554" s="4"/>
      <c r="AA554" t="b">
        <f>VLOOKUP(E554,ui!A$56:B$56,2,FALSE)</f>
        <v>1</v>
      </c>
    </row>
    <row r="555" spans="1:27" hidden="1" x14ac:dyDescent="0.25">
      <c r="A555" t="s">
        <v>30</v>
      </c>
      <c r="B555">
        <f>IF(COUNTIF(dropdown!B$2:B$12,all_inputs!A555)=1,1,IF(COUNTIF(dropdown!C$2:C$4,all_inputs!A555)=1,2,IF(COUNTIF(dropdown!D$2:D$3,all_inputs!A555)=1,3,"?")))</f>
        <v>1</v>
      </c>
      <c r="C555" t="s">
        <v>14</v>
      </c>
      <c r="D555" t="s">
        <v>466</v>
      </c>
      <c r="E555" t="s">
        <v>473</v>
      </c>
      <c r="F555">
        <f>IF(AND(all_inputs!E555=dropdown!AC$8, COUNTIF(dropdown!AC$9:AC$19,all_inputs!A555)=1), dropdown!X$10, 1)</f>
        <v>1</v>
      </c>
      <c r="G555" s="4">
        <f>ui!B$4</f>
        <v>2025</v>
      </c>
      <c r="H555" s="4">
        <f>ui!B$5</f>
        <v>2050</v>
      </c>
      <c r="I555" s="4" t="s">
        <v>93</v>
      </c>
      <c r="J555" s="4" t="str">
        <f>VLOOKUP(ui!B$2,dropdown!M:O,3,FALSE)</f>
        <v>LIC</v>
      </c>
      <c r="K555" s="4"/>
      <c r="L555" s="4"/>
      <c r="M555" s="4"/>
      <c r="N555" s="4">
        <f>ui!C$56</f>
        <v>10</v>
      </c>
      <c r="O555" s="4"/>
      <c r="P555" s="4"/>
      <c r="Q555" s="4"/>
      <c r="R555" s="4">
        <f>ui!D$56</f>
        <v>30</v>
      </c>
      <c r="S555" s="4"/>
      <c r="T555" s="4"/>
      <c r="U555" s="4"/>
      <c r="V555" s="4"/>
      <c r="W555" s="4"/>
      <c r="X555" s="4"/>
      <c r="Y555" s="4"/>
      <c r="Z555" s="4"/>
      <c r="AA555" t="b">
        <f>VLOOKUP(E555,ui!A$56:B$56,2,FALSE)</f>
        <v>1</v>
      </c>
    </row>
    <row r="556" spans="1:27" hidden="1" x14ac:dyDescent="0.25">
      <c r="A556" t="s">
        <v>30</v>
      </c>
      <c r="B556">
        <f>IF(COUNTIF(dropdown!B$2:B$12,all_inputs!A556)=1,1,IF(COUNTIF(dropdown!C$2:C$4,all_inputs!A556)=1,2,IF(COUNTIF(dropdown!D$2:D$3,all_inputs!A556)=1,3,"?")))</f>
        <v>1</v>
      </c>
      <c r="C556" t="s">
        <v>15</v>
      </c>
      <c r="D556" t="s">
        <v>466</v>
      </c>
      <c r="E556" t="s">
        <v>473</v>
      </c>
      <c r="F556" s="4">
        <f>IF(AND(all_inputs!E556=dropdown!AC$8, COUNTIF(dropdown!AC$9:AC$19,all_inputs!A556)=1), dropdown!X$11, 1)</f>
        <v>1</v>
      </c>
      <c r="G556" s="4">
        <f>ui!B$4</f>
        <v>2025</v>
      </c>
      <c r="H556" s="4">
        <f>ui!B$5</f>
        <v>2050</v>
      </c>
      <c r="I556" s="4" t="s">
        <v>93</v>
      </c>
      <c r="J556" s="4" t="str">
        <f>VLOOKUP(ui!B$2,dropdown!M:O,3,FALSE)</f>
        <v>LIC</v>
      </c>
      <c r="K556" s="4"/>
      <c r="L556" s="4"/>
      <c r="M556" s="4"/>
      <c r="N556" s="4">
        <f>ui!C$56</f>
        <v>10</v>
      </c>
      <c r="O556" s="4"/>
      <c r="P556" s="4"/>
      <c r="Q556" s="4"/>
      <c r="R556" s="4">
        <f>ui!D$56</f>
        <v>30</v>
      </c>
      <c r="S556" s="4"/>
      <c r="T556" s="4"/>
      <c r="U556" s="4"/>
      <c r="V556" s="4"/>
      <c r="W556" s="4"/>
      <c r="X556" s="4"/>
      <c r="Y556" s="4"/>
      <c r="Z556" s="4"/>
      <c r="AA556" t="b">
        <f>VLOOKUP(E556,ui!A$56:B$56,2,FALSE)</f>
        <v>1</v>
      </c>
    </row>
    <row r="557" spans="1:27" hidden="1" x14ac:dyDescent="0.25">
      <c r="A557" t="s">
        <v>30</v>
      </c>
      <c r="B557">
        <f>IF(COUNTIF(dropdown!B$2:B$12,all_inputs!A557)=1,1,IF(COUNTIF(dropdown!C$2:C$4,all_inputs!A557)=1,2,IF(COUNTIF(dropdown!D$2:D$3,all_inputs!A557)=1,3,"?")))</f>
        <v>1</v>
      </c>
      <c r="C557" t="s">
        <v>16</v>
      </c>
      <c r="D557" t="s">
        <v>467</v>
      </c>
      <c r="E557" t="s">
        <v>473</v>
      </c>
      <c r="F557" s="4">
        <f>IF(AND(all_inputs!E557=dropdown!AC$8, COUNTIF(dropdown!AC$9:AC$19,all_inputs!A557)=1), dropdown!X$12, 1)</f>
        <v>1</v>
      </c>
      <c r="G557" s="4">
        <f>ui!B$4</f>
        <v>2025</v>
      </c>
      <c r="H557" s="4">
        <f>ui!B$5</f>
        <v>2050</v>
      </c>
      <c r="I557" s="4" t="s">
        <v>93</v>
      </c>
      <c r="J557" s="4" t="str">
        <f>VLOOKUP(ui!B$2,dropdown!M:O,3,FALSE)</f>
        <v>LIC</v>
      </c>
      <c r="K557" s="4"/>
      <c r="L557" s="4"/>
      <c r="M557" s="4"/>
      <c r="N557" s="4">
        <f>ui!C$56</f>
        <v>10</v>
      </c>
      <c r="O557" s="4"/>
      <c r="P557" s="4"/>
      <c r="Q557" s="4"/>
      <c r="R557" s="4">
        <f>ui!D$56</f>
        <v>30</v>
      </c>
      <c r="S557" s="4"/>
      <c r="T557" s="4"/>
      <c r="U557" s="4"/>
      <c r="V557" s="4"/>
      <c r="W557" s="4"/>
      <c r="X557" s="4"/>
      <c r="Y557" s="4"/>
      <c r="Z557" s="4"/>
      <c r="AA557" t="b">
        <f>VLOOKUP(E557,ui!A$56:B$56,2,FALSE)</f>
        <v>1</v>
      </c>
    </row>
    <row r="558" spans="1:27" hidden="1" x14ac:dyDescent="0.25">
      <c r="A558" t="s">
        <v>30</v>
      </c>
      <c r="B558">
        <f>IF(COUNTIF(dropdown!B$2:B$12,all_inputs!A558)=1,1,IF(COUNTIF(dropdown!C$2:C$4,all_inputs!A558)=1,2,IF(COUNTIF(dropdown!D$2:D$3,all_inputs!A558)=1,3,"?")))</f>
        <v>1</v>
      </c>
      <c r="C558" t="s">
        <v>17</v>
      </c>
      <c r="D558" t="s">
        <v>468</v>
      </c>
      <c r="E558" t="s">
        <v>473</v>
      </c>
      <c r="F558" s="4">
        <f>IF(AND(all_inputs!E558=dropdown!AC$8, COUNTIF(dropdown!AC$9:AC$19,all_inputs!A558)=1), dropdown!X$13, 1)</f>
        <v>1</v>
      </c>
      <c r="G558" s="4">
        <f>ui!B$4</f>
        <v>2025</v>
      </c>
      <c r="H558" s="4">
        <f>ui!B$5</f>
        <v>2050</v>
      </c>
      <c r="I558" s="4" t="s">
        <v>93</v>
      </c>
      <c r="J558" s="4" t="str">
        <f>VLOOKUP(ui!B$2,dropdown!M:O,3,FALSE)</f>
        <v>LIC</v>
      </c>
      <c r="K558" s="4"/>
      <c r="L558" s="4"/>
      <c r="M558" s="4"/>
      <c r="N558" s="4">
        <f>ui!C$56</f>
        <v>10</v>
      </c>
      <c r="O558" s="4"/>
      <c r="P558" s="4"/>
      <c r="Q558" s="4"/>
      <c r="R558" s="4">
        <f>ui!D$56</f>
        <v>30</v>
      </c>
      <c r="S558" s="4"/>
      <c r="T558" s="4"/>
      <c r="U558" s="4"/>
      <c r="V558" s="4"/>
      <c r="W558" s="4"/>
      <c r="X558" s="4"/>
      <c r="Y558" s="4"/>
      <c r="Z558" s="4"/>
      <c r="AA558" t="b">
        <f>VLOOKUP(E558,ui!A$56:B$56,2,FALSE)</f>
        <v>1</v>
      </c>
    </row>
    <row r="559" spans="1:27" hidden="1" x14ac:dyDescent="0.25">
      <c r="A559" s="2" t="s">
        <v>30</v>
      </c>
      <c r="B559" s="2">
        <f>IF(COUNTIF(dropdown!B$2:B$12,all_inputs!A559)=1,1,IF(COUNTIF(dropdown!C$2:C$4,all_inputs!A559)=1,2,IF(COUNTIF(dropdown!D$2:D$3,all_inputs!A559)=1,3,"?")))</f>
        <v>1</v>
      </c>
      <c r="C559" s="2" t="s">
        <v>18</v>
      </c>
      <c r="D559" s="2" t="s">
        <v>469</v>
      </c>
      <c r="E559" s="2" t="s">
        <v>473</v>
      </c>
      <c r="F559" s="2">
        <f>IF(AND(all_inputs!E559=dropdown!AC$8, COUNTIF(dropdown!AC$9:AC$19,all_inputs!A559)=1), dropdown!X$14, 1)</f>
        <v>1</v>
      </c>
      <c r="G559" s="5">
        <f>ui!B$4</f>
        <v>2025</v>
      </c>
      <c r="H559" s="5">
        <f>ui!B$5</f>
        <v>2050</v>
      </c>
      <c r="I559" s="5" t="s">
        <v>93</v>
      </c>
      <c r="J559" s="5" t="str">
        <f>VLOOKUP(ui!B$2,dropdown!M:O,3,FALSE)</f>
        <v>LIC</v>
      </c>
      <c r="K559" s="5"/>
      <c r="L559" s="5"/>
      <c r="M559" s="5"/>
      <c r="N559" s="5">
        <f>ui!C$56</f>
        <v>10</v>
      </c>
      <c r="O559" s="5"/>
      <c r="P559" s="5"/>
      <c r="Q559" s="5"/>
      <c r="R559" s="5">
        <f>ui!D$56</f>
        <v>30</v>
      </c>
      <c r="S559" s="5"/>
      <c r="T559" s="5"/>
      <c r="U559" s="5"/>
      <c r="V559" s="5"/>
      <c r="W559" s="5"/>
      <c r="X559" s="5"/>
      <c r="Y559" s="5"/>
      <c r="Z559" s="5"/>
      <c r="AA559" s="2" t="b">
        <f>VLOOKUP(E559,ui!A$56:B$56,2,FALSE)</f>
        <v>1</v>
      </c>
    </row>
    <row r="560" spans="1:27" hidden="1" x14ac:dyDescent="0.25">
      <c r="A560" t="s">
        <v>31</v>
      </c>
      <c r="B560">
        <f>IF(COUNTIF(dropdown!B$2:B$12,all_inputs!A560)=1,1,IF(COUNTIF(dropdown!C$2:C$4,all_inputs!A560)=1,2,IF(COUNTIF(dropdown!D$2:D$3,all_inputs!A560)=1,3,"?")))</f>
        <v>1</v>
      </c>
      <c r="C560" t="s">
        <v>13</v>
      </c>
      <c r="D560" t="s">
        <v>472</v>
      </c>
      <c r="E560" t="s">
        <v>473</v>
      </c>
      <c r="F560" s="4">
        <f>IF(AND(all_inputs!E560=dropdown!AC$8, COUNTIF(dropdown!AC$9:AC$19,all_inputs!A560)=1), dropdown!X$9, 1)</f>
        <v>1</v>
      </c>
      <c r="G560" s="4">
        <f>ui!B$4</f>
        <v>2025</v>
      </c>
      <c r="H560" s="4">
        <f>ui!B$5</f>
        <v>2050</v>
      </c>
      <c r="I560" s="4" t="s">
        <v>93</v>
      </c>
      <c r="J560" s="4" t="str">
        <f>VLOOKUP(ui!B$2,dropdown!M:O,3,FALSE)</f>
        <v>LIC</v>
      </c>
      <c r="K560" s="4"/>
      <c r="L560" s="4"/>
      <c r="M560" s="4"/>
      <c r="N560" s="4">
        <f>ui!C$56</f>
        <v>10</v>
      </c>
      <c r="O560" s="4"/>
      <c r="P560" s="4"/>
      <c r="Q560" s="4"/>
      <c r="R560" s="4">
        <f>ui!D$56</f>
        <v>30</v>
      </c>
      <c r="S560" s="4"/>
      <c r="T560" s="4"/>
      <c r="U560" s="4"/>
      <c r="V560" s="4"/>
      <c r="W560" s="4"/>
      <c r="X560" s="4"/>
      <c r="Y560" s="4"/>
      <c r="Z560" s="4"/>
      <c r="AA560" t="b">
        <f>VLOOKUP(E560,ui!A$56:B$56,2,FALSE)</f>
        <v>1</v>
      </c>
    </row>
    <row r="561" spans="1:27" hidden="1" x14ac:dyDescent="0.25">
      <c r="A561" t="s">
        <v>31</v>
      </c>
      <c r="B561">
        <f>IF(COUNTIF(dropdown!B$2:B$12,all_inputs!A561)=1,1,IF(COUNTIF(dropdown!C$2:C$4,all_inputs!A561)=1,2,IF(COUNTIF(dropdown!D$2:D$3,all_inputs!A561)=1,3,"?")))</f>
        <v>1</v>
      </c>
      <c r="C561" t="s">
        <v>14</v>
      </c>
      <c r="D561" t="s">
        <v>466</v>
      </c>
      <c r="E561" t="s">
        <v>473</v>
      </c>
      <c r="F561">
        <f>IF(AND(all_inputs!E561=dropdown!AC$8, COUNTIF(dropdown!AC$9:AC$19,all_inputs!A561)=1), dropdown!X$10, 1)</f>
        <v>1</v>
      </c>
      <c r="G561" s="4">
        <f>ui!B$4</f>
        <v>2025</v>
      </c>
      <c r="H561" s="4">
        <f>ui!B$5</f>
        <v>2050</v>
      </c>
      <c r="I561" s="4" t="s">
        <v>93</v>
      </c>
      <c r="J561" s="4" t="str">
        <f>VLOOKUP(ui!B$2,dropdown!M:O,3,FALSE)</f>
        <v>LIC</v>
      </c>
      <c r="K561" s="4"/>
      <c r="L561" s="4"/>
      <c r="M561" s="4"/>
      <c r="N561" s="4">
        <f>ui!C$56</f>
        <v>10</v>
      </c>
      <c r="O561" s="4"/>
      <c r="P561" s="4"/>
      <c r="Q561" s="4"/>
      <c r="R561" s="4">
        <f>ui!D$56</f>
        <v>30</v>
      </c>
      <c r="S561" s="4"/>
      <c r="T561" s="4"/>
      <c r="U561" s="4"/>
      <c r="V561" s="4"/>
      <c r="W561" s="4"/>
      <c r="X561" s="4"/>
      <c r="Y561" s="4"/>
      <c r="Z561" s="4"/>
      <c r="AA561" t="b">
        <f>VLOOKUP(E561,ui!A$56:B$56,2,FALSE)</f>
        <v>1</v>
      </c>
    </row>
    <row r="562" spans="1:27" hidden="1" x14ac:dyDescent="0.25">
      <c r="A562" t="s">
        <v>31</v>
      </c>
      <c r="B562">
        <f>IF(COUNTIF(dropdown!B$2:B$12,all_inputs!A562)=1,1,IF(COUNTIF(dropdown!C$2:C$4,all_inputs!A562)=1,2,IF(COUNTIF(dropdown!D$2:D$3,all_inputs!A562)=1,3,"?")))</f>
        <v>1</v>
      </c>
      <c r="C562" t="s">
        <v>15</v>
      </c>
      <c r="D562" t="s">
        <v>466</v>
      </c>
      <c r="E562" t="s">
        <v>473</v>
      </c>
      <c r="F562" s="4">
        <f>IF(AND(all_inputs!E562=dropdown!AC$8, COUNTIF(dropdown!AC$9:AC$19,all_inputs!A562)=1), dropdown!X$11, 1)</f>
        <v>1</v>
      </c>
      <c r="G562" s="4">
        <f>ui!B$4</f>
        <v>2025</v>
      </c>
      <c r="H562" s="4">
        <f>ui!B$5</f>
        <v>2050</v>
      </c>
      <c r="I562" s="4" t="s">
        <v>93</v>
      </c>
      <c r="J562" s="4" t="str">
        <f>VLOOKUP(ui!B$2,dropdown!M:O,3,FALSE)</f>
        <v>LIC</v>
      </c>
      <c r="K562" s="4"/>
      <c r="L562" s="4"/>
      <c r="M562" s="4"/>
      <c r="N562" s="4">
        <f>ui!C$56</f>
        <v>10</v>
      </c>
      <c r="O562" s="4"/>
      <c r="P562" s="4"/>
      <c r="Q562" s="4"/>
      <c r="R562" s="4">
        <f>ui!D$56</f>
        <v>30</v>
      </c>
      <c r="S562" s="4"/>
      <c r="T562" s="4"/>
      <c r="U562" s="4"/>
      <c r="V562" s="4"/>
      <c r="W562" s="4"/>
      <c r="X562" s="4"/>
      <c r="Y562" s="4"/>
      <c r="Z562" s="4"/>
      <c r="AA562" t="b">
        <f>VLOOKUP(E562,ui!A$56:B$56,2,FALSE)</f>
        <v>1</v>
      </c>
    </row>
    <row r="563" spans="1:27" hidden="1" x14ac:dyDescent="0.25">
      <c r="A563" t="s">
        <v>31</v>
      </c>
      <c r="B563">
        <f>IF(COUNTIF(dropdown!B$2:B$12,all_inputs!A563)=1,1,IF(COUNTIF(dropdown!C$2:C$4,all_inputs!A563)=1,2,IF(COUNTIF(dropdown!D$2:D$3,all_inputs!A563)=1,3,"?")))</f>
        <v>1</v>
      </c>
      <c r="C563" t="s">
        <v>16</v>
      </c>
      <c r="D563" t="s">
        <v>467</v>
      </c>
      <c r="E563" t="s">
        <v>473</v>
      </c>
      <c r="F563" s="4">
        <f>IF(AND(all_inputs!E563=dropdown!AC$8, COUNTIF(dropdown!AC$9:AC$19,all_inputs!A563)=1), dropdown!X$12, 1)</f>
        <v>1</v>
      </c>
      <c r="G563" s="4">
        <f>ui!B$4</f>
        <v>2025</v>
      </c>
      <c r="H563" s="4">
        <f>ui!B$5</f>
        <v>2050</v>
      </c>
      <c r="I563" s="4" t="s">
        <v>93</v>
      </c>
      <c r="J563" s="4" t="str">
        <f>VLOOKUP(ui!B$2,dropdown!M:O,3,FALSE)</f>
        <v>LIC</v>
      </c>
      <c r="K563" s="4"/>
      <c r="L563" s="4"/>
      <c r="M563" s="4"/>
      <c r="N563" s="4">
        <f>ui!C$56</f>
        <v>10</v>
      </c>
      <c r="O563" s="4"/>
      <c r="P563" s="4"/>
      <c r="Q563" s="4"/>
      <c r="R563" s="4">
        <f>ui!D$56</f>
        <v>30</v>
      </c>
      <c r="S563" s="4"/>
      <c r="T563" s="4"/>
      <c r="U563" s="4"/>
      <c r="V563" s="4"/>
      <c r="W563" s="4"/>
      <c r="X563" s="4"/>
      <c r="Y563" s="4"/>
      <c r="Z563" s="4"/>
      <c r="AA563" t="b">
        <f>VLOOKUP(E563,ui!A$56:B$56,2,FALSE)</f>
        <v>1</v>
      </c>
    </row>
    <row r="564" spans="1:27" hidden="1" x14ac:dyDescent="0.25">
      <c r="A564" t="s">
        <v>31</v>
      </c>
      <c r="B564">
        <f>IF(COUNTIF(dropdown!B$2:B$12,all_inputs!A564)=1,1,IF(COUNTIF(dropdown!C$2:C$4,all_inputs!A564)=1,2,IF(COUNTIF(dropdown!D$2:D$3,all_inputs!A564)=1,3,"?")))</f>
        <v>1</v>
      </c>
      <c r="C564" t="s">
        <v>17</v>
      </c>
      <c r="D564" t="s">
        <v>468</v>
      </c>
      <c r="E564" t="s">
        <v>473</v>
      </c>
      <c r="F564" s="4">
        <f>IF(AND(all_inputs!E564=dropdown!AC$8, COUNTIF(dropdown!AC$9:AC$19,all_inputs!A564)=1), dropdown!X$13, 1)</f>
        <v>1</v>
      </c>
      <c r="G564" s="4">
        <f>ui!B$4</f>
        <v>2025</v>
      </c>
      <c r="H564" s="4">
        <f>ui!B$5</f>
        <v>2050</v>
      </c>
      <c r="I564" s="4" t="s">
        <v>93</v>
      </c>
      <c r="J564" s="4" t="str">
        <f>VLOOKUP(ui!B$2,dropdown!M:O,3,FALSE)</f>
        <v>LIC</v>
      </c>
      <c r="K564" s="4"/>
      <c r="L564" s="4"/>
      <c r="M564" s="4"/>
      <c r="N564" s="4">
        <f>ui!C$56</f>
        <v>10</v>
      </c>
      <c r="O564" s="4"/>
      <c r="P564" s="4"/>
      <c r="Q564" s="4"/>
      <c r="R564" s="4">
        <f>ui!D$56</f>
        <v>30</v>
      </c>
      <c r="S564" s="4"/>
      <c r="T564" s="4"/>
      <c r="U564" s="4"/>
      <c r="V564" s="4"/>
      <c r="W564" s="4"/>
      <c r="X564" s="4"/>
      <c r="Y564" s="4"/>
      <c r="Z564" s="4"/>
      <c r="AA564" t="b">
        <f>VLOOKUP(E564,ui!A$56:B$56,2,FALSE)</f>
        <v>1</v>
      </c>
    </row>
    <row r="565" spans="1:27" hidden="1" x14ac:dyDescent="0.25">
      <c r="A565" s="2" t="s">
        <v>31</v>
      </c>
      <c r="B565" s="2">
        <f>IF(COUNTIF(dropdown!B$2:B$12,all_inputs!A565)=1,1,IF(COUNTIF(dropdown!C$2:C$4,all_inputs!A565)=1,2,IF(COUNTIF(dropdown!D$2:D$3,all_inputs!A565)=1,3,"?")))</f>
        <v>1</v>
      </c>
      <c r="C565" s="2" t="s">
        <v>18</v>
      </c>
      <c r="D565" s="2" t="s">
        <v>469</v>
      </c>
      <c r="E565" s="2" t="s">
        <v>473</v>
      </c>
      <c r="F565" s="2">
        <f>IF(AND(all_inputs!E565=dropdown!AC$8, COUNTIF(dropdown!AC$9:AC$19,all_inputs!A565)=1), dropdown!X$14, 1)</f>
        <v>1</v>
      </c>
      <c r="G565" s="5">
        <f>ui!B$4</f>
        <v>2025</v>
      </c>
      <c r="H565" s="5">
        <f>ui!B$5</f>
        <v>2050</v>
      </c>
      <c r="I565" s="5" t="s">
        <v>93</v>
      </c>
      <c r="J565" s="5" t="str">
        <f>VLOOKUP(ui!B$2,dropdown!M:O,3,FALSE)</f>
        <v>LIC</v>
      </c>
      <c r="K565" s="5"/>
      <c r="L565" s="5"/>
      <c r="M565" s="5"/>
      <c r="N565" s="5">
        <f>ui!C$56</f>
        <v>10</v>
      </c>
      <c r="O565" s="5"/>
      <c r="P565" s="5"/>
      <c r="Q565" s="5"/>
      <c r="R565" s="5">
        <f>ui!D$56</f>
        <v>30</v>
      </c>
      <c r="S565" s="5"/>
      <c r="T565" s="5"/>
      <c r="U565" s="5"/>
      <c r="V565" s="5"/>
      <c r="W565" s="5"/>
      <c r="X565" s="5"/>
      <c r="Y565" s="5"/>
      <c r="Z565" s="5"/>
      <c r="AA565" s="2" t="b">
        <f>VLOOKUP(E565,ui!A$56:B$56,2,FALSE)</f>
        <v>1</v>
      </c>
    </row>
    <row r="566" spans="1:27" hidden="1" x14ac:dyDescent="0.25">
      <c r="A566" t="s">
        <v>32</v>
      </c>
      <c r="B566">
        <f>IF(COUNTIF(dropdown!B$2:B$12,all_inputs!A566)=1,1,IF(COUNTIF(dropdown!C$2:C$4,all_inputs!A566)=1,2,IF(COUNTIF(dropdown!D$2:D$3,all_inputs!A566)=1,3,"?")))</f>
        <v>2</v>
      </c>
      <c r="C566" t="s">
        <v>13</v>
      </c>
      <c r="D566" t="s">
        <v>472</v>
      </c>
      <c r="E566" t="s">
        <v>473</v>
      </c>
      <c r="F566" s="4">
        <f>IF(AND(all_inputs!E566=dropdown!AC$8, COUNTIF(dropdown!AC$9:AC$19,all_inputs!A566)=1), dropdown!X$9, 1)</f>
        <v>1</v>
      </c>
      <c r="G566" s="4">
        <f>ui!B$4</f>
        <v>2025</v>
      </c>
      <c r="H566" s="4">
        <f>ui!B$5</f>
        <v>2050</v>
      </c>
      <c r="I566" s="4" t="s">
        <v>93</v>
      </c>
      <c r="J566" s="4" t="str">
        <f>VLOOKUP(ui!B$2,dropdown!M:O,3,FALSE)</f>
        <v>LIC</v>
      </c>
      <c r="K566" s="4"/>
      <c r="L566" s="4"/>
      <c r="M566" s="4"/>
      <c r="N566" s="4">
        <f>ui!C$56</f>
        <v>10</v>
      </c>
      <c r="O566" s="4"/>
      <c r="P566" s="4"/>
      <c r="Q566" s="4"/>
      <c r="R566" s="4">
        <f>ui!D$56</f>
        <v>30</v>
      </c>
      <c r="S566" s="4"/>
      <c r="T566" s="4"/>
      <c r="U566" s="4"/>
      <c r="V566" s="4"/>
      <c r="W566" s="4"/>
      <c r="X566" s="4"/>
      <c r="Y566" s="4"/>
      <c r="Z566" s="4"/>
      <c r="AA566" t="b">
        <f>VLOOKUP(E566,ui!A$56:B$56,2,FALSE)</f>
        <v>1</v>
      </c>
    </row>
    <row r="567" spans="1:27" hidden="1" x14ac:dyDescent="0.25">
      <c r="A567" t="s">
        <v>32</v>
      </c>
      <c r="B567">
        <f>IF(COUNTIF(dropdown!B$2:B$12,all_inputs!A567)=1,1,IF(COUNTIF(dropdown!C$2:C$4,all_inputs!A567)=1,2,IF(COUNTIF(dropdown!D$2:D$3,all_inputs!A567)=1,3,"?")))</f>
        <v>2</v>
      </c>
      <c r="C567" t="s">
        <v>14</v>
      </c>
      <c r="D567" t="s">
        <v>466</v>
      </c>
      <c r="E567" t="s">
        <v>473</v>
      </c>
      <c r="F567">
        <f>IF(AND(all_inputs!E567=dropdown!AC$8, COUNTIF(dropdown!AC$9:AC$19,all_inputs!A567)=1), dropdown!X$10, 1)</f>
        <v>1</v>
      </c>
      <c r="G567" s="4">
        <f>ui!B$4</f>
        <v>2025</v>
      </c>
      <c r="H567" s="4">
        <f>ui!B$5</f>
        <v>2050</v>
      </c>
      <c r="I567" s="4" t="s">
        <v>93</v>
      </c>
      <c r="J567" s="4" t="str">
        <f>VLOOKUP(ui!B$2,dropdown!M:O,3,FALSE)</f>
        <v>LIC</v>
      </c>
      <c r="K567" s="4"/>
      <c r="L567" s="4"/>
      <c r="M567" s="4"/>
      <c r="N567" s="4">
        <f>ui!C$56</f>
        <v>10</v>
      </c>
      <c r="O567" s="4"/>
      <c r="P567" s="4"/>
      <c r="Q567" s="4"/>
      <c r="R567" s="4">
        <f>ui!D$56</f>
        <v>30</v>
      </c>
      <c r="S567" s="4"/>
      <c r="T567" s="4"/>
      <c r="U567" s="4"/>
      <c r="V567" s="4"/>
      <c r="W567" s="4"/>
      <c r="X567" s="4"/>
      <c r="Y567" s="4"/>
      <c r="Z567" s="4"/>
      <c r="AA567" t="b">
        <f>VLOOKUP(E567,ui!A$56:B$56,2,FALSE)</f>
        <v>1</v>
      </c>
    </row>
    <row r="568" spans="1:27" hidden="1" x14ac:dyDescent="0.25">
      <c r="A568" t="s">
        <v>32</v>
      </c>
      <c r="B568">
        <f>IF(COUNTIF(dropdown!B$2:B$12,all_inputs!A568)=1,1,IF(COUNTIF(dropdown!C$2:C$4,all_inputs!A568)=1,2,IF(COUNTIF(dropdown!D$2:D$3,all_inputs!A568)=1,3,"?")))</f>
        <v>2</v>
      </c>
      <c r="C568" t="s">
        <v>15</v>
      </c>
      <c r="D568" t="s">
        <v>466</v>
      </c>
      <c r="E568" t="s">
        <v>473</v>
      </c>
      <c r="F568" s="4">
        <f>IF(AND(all_inputs!E568=dropdown!AC$8, COUNTIF(dropdown!AC$9:AC$19,all_inputs!A568)=1), dropdown!X$11, 1)</f>
        <v>1</v>
      </c>
      <c r="G568" s="4">
        <f>ui!B$4</f>
        <v>2025</v>
      </c>
      <c r="H568" s="4">
        <f>ui!B$5</f>
        <v>2050</v>
      </c>
      <c r="I568" s="4" t="s">
        <v>93</v>
      </c>
      <c r="J568" s="4" t="str">
        <f>VLOOKUP(ui!B$2,dropdown!M:O,3,FALSE)</f>
        <v>LIC</v>
      </c>
      <c r="K568" s="4"/>
      <c r="L568" s="4"/>
      <c r="M568" s="4"/>
      <c r="N568" s="4">
        <f>ui!C$56</f>
        <v>10</v>
      </c>
      <c r="O568" s="4"/>
      <c r="P568" s="4"/>
      <c r="Q568" s="4"/>
      <c r="R568" s="4">
        <f>ui!D$56</f>
        <v>30</v>
      </c>
      <c r="S568" s="4"/>
      <c r="T568" s="4"/>
      <c r="U568" s="4"/>
      <c r="V568" s="4"/>
      <c r="W568" s="4"/>
      <c r="X568" s="4"/>
      <c r="Y568" s="4"/>
      <c r="Z568" s="4"/>
      <c r="AA568" t="b">
        <f>VLOOKUP(E568,ui!A$56:B$56,2,FALSE)</f>
        <v>1</v>
      </c>
    </row>
    <row r="569" spans="1:27" hidden="1" x14ac:dyDescent="0.25">
      <c r="A569" t="s">
        <v>32</v>
      </c>
      <c r="B569">
        <f>IF(COUNTIF(dropdown!B$2:B$12,all_inputs!A569)=1,1,IF(COUNTIF(dropdown!C$2:C$4,all_inputs!A569)=1,2,IF(COUNTIF(dropdown!D$2:D$3,all_inputs!A569)=1,3,"?")))</f>
        <v>2</v>
      </c>
      <c r="C569" t="s">
        <v>16</v>
      </c>
      <c r="D569" t="s">
        <v>467</v>
      </c>
      <c r="E569" t="s">
        <v>473</v>
      </c>
      <c r="F569">
        <f>IF(AND(all_inputs!E569=dropdown!AC$8, COUNTIF(dropdown!AC$9:AC$19,all_inputs!A569)=1), dropdown!X$12, 1)</f>
        <v>1</v>
      </c>
      <c r="G569" s="4">
        <f>ui!B$4</f>
        <v>2025</v>
      </c>
      <c r="H569" s="4">
        <f>ui!B$5</f>
        <v>2050</v>
      </c>
      <c r="I569" s="4" t="s">
        <v>93</v>
      </c>
      <c r="J569" s="4" t="str">
        <f>VLOOKUP(ui!B$2,dropdown!M:O,3,FALSE)</f>
        <v>LIC</v>
      </c>
      <c r="K569" s="4"/>
      <c r="L569" s="4"/>
      <c r="M569" s="4"/>
      <c r="N569" s="4">
        <f>ui!C$56</f>
        <v>10</v>
      </c>
      <c r="O569" s="4"/>
      <c r="P569" s="4"/>
      <c r="Q569" s="4"/>
      <c r="R569" s="4">
        <f>ui!D$56</f>
        <v>30</v>
      </c>
      <c r="S569" s="4"/>
      <c r="T569" s="4"/>
      <c r="U569" s="4"/>
      <c r="V569" s="4"/>
      <c r="W569" s="4"/>
      <c r="X569" s="4"/>
      <c r="Y569" s="4"/>
      <c r="Z569" s="4"/>
      <c r="AA569" t="b">
        <f>VLOOKUP(E569,ui!A$56:B$56,2,FALSE)</f>
        <v>1</v>
      </c>
    </row>
    <row r="570" spans="1:27" hidden="1" x14ac:dyDescent="0.25">
      <c r="A570" t="s">
        <v>32</v>
      </c>
      <c r="B570">
        <f>IF(COUNTIF(dropdown!B$2:B$12,all_inputs!A570)=1,1,IF(COUNTIF(dropdown!C$2:C$4,all_inputs!A570)=1,2,IF(COUNTIF(dropdown!D$2:D$3,all_inputs!A570)=1,3,"?")))</f>
        <v>2</v>
      </c>
      <c r="C570" t="s">
        <v>17</v>
      </c>
      <c r="D570" t="s">
        <v>468</v>
      </c>
      <c r="E570" t="s">
        <v>473</v>
      </c>
      <c r="F570">
        <f>IF(AND(all_inputs!E570=dropdown!AC$8, COUNTIF(dropdown!AC$9:AC$19,all_inputs!A570)=1), dropdown!X$13, 1)</f>
        <v>1</v>
      </c>
      <c r="G570" s="4">
        <f>ui!B$4</f>
        <v>2025</v>
      </c>
      <c r="H570" s="4">
        <f>ui!B$5</f>
        <v>2050</v>
      </c>
      <c r="I570" s="4" t="s">
        <v>93</v>
      </c>
      <c r="J570" s="4" t="str">
        <f>VLOOKUP(ui!B$2,dropdown!M:O,3,FALSE)</f>
        <v>LIC</v>
      </c>
      <c r="K570" s="4"/>
      <c r="L570" s="4"/>
      <c r="M570" s="4"/>
      <c r="N570" s="4">
        <f>ui!C$56</f>
        <v>10</v>
      </c>
      <c r="O570" s="4"/>
      <c r="P570" s="4"/>
      <c r="Q570" s="4"/>
      <c r="R570" s="4">
        <f>ui!D$56</f>
        <v>30</v>
      </c>
      <c r="S570" s="4"/>
      <c r="T570" s="4"/>
      <c r="U570" s="4"/>
      <c r="V570" s="4"/>
      <c r="W570" s="4"/>
      <c r="X570" s="4"/>
      <c r="Y570" s="4"/>
      <c r="Z570" s="4"/>
      <c r="AA570" t="b">
        <f>VLOOKUP(E570,ui!A$56:B$56,2,FALSE)</f>
        <v>1</v>
      </c>
    </row>
    <row r="571" spans="1:27" hidden="1" x14ac:dyDescent="0.25">
      <c r="A571" s="2" t="s">
        <v>32</v>
      </c>
      <c r="B571" s="2">
        <f>IF(COUNTIF(dropdown!B$2:B$12,all_inputs!A571)=1,1,IF(COUNTIF(dropdown!C$2:C$4,all_inputs!A571)=1,2,IF(COUNTIF(dropdown!D$2:D$3,all_inputs!A571)=1,3,"?")))</f>
        <v>2</v>
      </c>
      <c r="C571" s="2" t="s">
        <v>18</v>
      </c>
      <c r="D571" s="2" t="s">
        <v>469</v>
      </c>
      <c r="E571" s="2" t="s">
        <v>473</v>
      </c>
      <c r="F571" s="2">
        <f>IF(AND(all_inputs!E571=dropdown!AC$8, COUNTIF(dropdown!AC$9:AC$19,all_inputs!A571)=1), dropdown!X$14, 1)</f>
        <v>1</v>
      </c>
      <c r="G571" s="5">
        <f>ui!B$4</f>
        <v>2025</v>
      </c>
      <c r="H571" s="5">
        <f>ui!B$5</f>
        <v>2050</v>
      </c>
      <c r="I571" s="5" t="s">
        <v>93</v>
      </c>
      <c r="J571" s="5" t="str">
        <f>VLOOKUP(ui!B$2,dropdown!M:O,3,FALSE)</f>
        <v>LIC</v>
      </c>
      <c r="K571" s="5"/>
      <c r="L571" s="5"/>
      <c r="M571" s="5"/>
      <c r="N571" s="5">
        <f>ui!C$56</f>
        <v>10</v>
      </c>
      <c r="O571" s="5"/>
      <c r="P571" s="5"/>
      <c r="Q571" s="5"/>
      <c r="R571" s="5">
        <f>ui!D$56</f>
        <v>30</v>
      </c>
      <c r="S571" s="5"/>
      <c r="T571" s="5"/>
      <c r="U571" s="5"/>
      <c r="V571" s="5"/>
      <c r="W571" s="5"/>
      <c r="X571" s="5"/>
      <c r="Y571" s="5"/>
      <c r="Z571" s="5"/>
      <c r="AA571" s="2" t="b">
        <f>VLOOKUP(E571,ui!A$56:B$56,2,FALSE)</f>
        <v>1</v>
      </c>
    </row>
    <row r="572" spans="1:27" hidden="1" x14ac:dyDescent="0.25">
      <c r="A572" t="s">
        <v>33</v>
      </c>
      <c r="B572">
        <f>IF(COUNTIF(dropdown!B$2:B$12,all_inputs!A572)=1,1,IF(COUNTIF(dropdown!C$2:C$4,all_inputs!A572)=1,2,IF(COUNTIF(dropdown!D$2:D$3,all_inputs!A572)=1,3,"?")))</f>
        <v>1</v>
      </c>
      <c r="C572" t="s">
        <v>13</v>
      </c>
      <c r="D572" t="s">
        <v>472</v>
      </c>
      <c r="E572" t="s">
        <v>473</v>
      </c>
      <c r="F572" s="4">
        <f>IF(AND(all_inputs!E572=dropdown!AC$8, COUNTIF(dropdown!AC$9:AC$19,all_inputs!A572)=1), dropdown!X$9, 1)</f>
        <v>1</v>
      </c>
      <c r="G572" s="4">
        <f>ui!B$4</f>
        <v>2025</v>
      </c>
      <c r="H572" s="4">
        <f>ui!B$5</f>
        <v>2050</v>
      </c>
      <c r="I572" s="4" t="s">
        <v>93</v>
      </c>
      <c r="J572" s="4" t="str">
        <f>VLOOKUP(ui!B$2,dropdown!M:O,3,FALSE)</f>
        <v>LIC</v>
      </c>
      <c r="K572" s="4"/>
      <c r="L572" s="4"/>
      <c r="M572" s="4"/>
      <c r="N572" s="4">
        <f>ui!C$56</f>
        <v>10</v>
      </c>
      <c r="O572" s="4"/>
      <c r="P572" s="4"/>
      <c r="Q572" s="4"/>
      <c r="R572" s="4">
        <f>ui!D$56</f>
        <v>30</v>
      </c>
      <c r="S572" s="4"/>
      <c r="T572" s="4"/>
      <c r="U572" s="4"/>
      <c r="V572" s="4"/>
      <c r="W572" s="4"/>
      <c r="X572" s="4"/>
      <c r="Y572" s="4"/>
      <c r="Z572" s="4"/>
      <c r="AA572" t="b">
        <f>VLOOKUP(E572,ui!A$56:B$56,2,FALSE)</f>
        <v>1</v>
      </c>
    </row>
    <row r="573" spans="1:27" hidden="1" x14ac:dyDescent="0.25">
      <c r="A573" t="s">
        <v>33</v>
      </c>
      <c r="B573">
        <f>IF(COUNTIF(dropdown!B$2:B$12,all_inputs!A573)=1,1,IF(COUNTIF(dropdown!C$2:C$4,all_inputs!A573)=1,2,IF(COUNTIF(dropdown!D$2:D$3,all_inputs!A573)=1,3,"?")))</f>
        <v>1</v>
      </c>
      <c r="C573" t="s">
        <v>14</v>
      </c>
      <c r="D573" t="s">
        <v>466</v>
      </c>
      <c r="E573" t="s">
        <v>473</v>
      </c>
      <c r="F573">
        <f>IF(AND(all_inputs!E573=dropdown!AC$8, COUNTIF(dropdown!AC$9:AC$19,all_inputs!A573)=1), dropdown!X$10, 1)</f>
        <v>1</v>
      </c>
      <c r="G573" s="4">
        <f>ui!B$4</f>
        <v>2025</v>
      </c>
      <c r="H573" s="4">
        <f>ui!B$5</f>
        <v>2050</v>
      </c>
      <c r="I573" s="4" t="s">
        <v>93</v>
      </c>
      <c r="J573" s="4" t="str">
        <f>VLOOKUP(ui!B$2,dropdown!M:O,3,FALSE)</f>
        <v>LIC</v>
      </c>
      <c r="K573" s="4"/>
      <c r="L573" s="4"/>
      <c r="M573" s="4"/>
      <c r="N573" s="4">
        <f>ui!C$56</f>
        <v>10</v>
      </c>
      <c r="O573" s="4"/>
      <c r="P573" s="4"/>
      <c r="Q573" s="4"/>
      <c r="R573" s="4">
        <f>ui!D$56</f>
        <v>30</v>
      </c>
      <c r="S573" s="4"/>
      <c r="T573" s="4"/>
      <c r="U573" s="4"/>
      <c r="V573" s="4"/>
      <c r="W573" s="4"/>
      <c r="X573" s="4"/>
      <c r="Y573" s="4"/>
      <c r="Z573" s="4"/>
      <c r="AA573" t="b">
        <f>VLOOKUP(E573,ui!A$56:B$56,2,FALSE)</f>
        <v>1</v>
      </c>
    </row>
    <row r="574" spans="1:27" hidden="1" x14ac:dyDescent="0.25">
      <c r="A574" t="s">
        <v>33</v>
      </c>
      <c r="B574">
        <f>IF(COUNTIF(dropdown!B$2:B$12,all_inputs!A574)=1,1,IF(COUNTIF(dropdown!C$2:C$4,all_inputs!A574)=1,2,IF(COUNTIF(dropdown!D$2:D$3,all_inputs!A574)=1,3,"?")))</f>
        <v>1</v>
      </c>
      <c r="C574" t="s">
        <v>15</v>
      </c>
      <c r="D574" t="s">
        <v>466</v>
      </c>
      <c r="E574" t="s">
        <v>473</v>
      </c>
      <c r="F574" s="4">
        <f>IF(AND(all_inputs!E574=dropdown!AC$8, COUNTIF(dropdown!AC$9:AC$19,all_inputs!A574)=1), dropdown!X$11, 1)</f>
        <v>1</v>
      </c>
      <c r="G574" s="4">
        <f>ui!B$4</f>
        <v>2025</v>
      </c>
      <c r="H574" s="4">
        <f>ui!B$5</f>
        <v>2050</v>
      </c>
      <c r="I574" s="4" t="s">
        <v>93</v>
      </c>
      <c r="J574" s="4" t="str">
        <f>VLOOKUP(ui!B$2,dropdown!M:O,3,FALSE)</f>
        <v>LIC</v>
      </c>
      <c r="K574" s="4"/>
      <c r="L574" s="4"/>
      <c r="M574" s="4"/>
      <c r="N574" s="4">
        <f>ui!C$56</f>
        <v>10</v>
      </c>
      <c r="O574" s="4"/>
      <c r="P574" s="4"/>
      <c r="Q574" s="4"/>
      <c r="R574" s="4">
        <f>ui!D$56</f>
        <v>30</v>
      </c>
      <c r="S574" s="4"/>
      <c r="T574" s="4"/>
      <c r="U574" s="4"/>
      <c r="V574" s="4"/>
      <c r="W574" s="4"/>
      <c r="X574" s="4"/>
      <c r="Y574" s="4"/>
      <c r="Z574" s="4"/>
      <c r="AA574" t="b">
        <f>VLOOKUP(E574,ui!A$56:B$56,2,FALSE)</f>
        <v>1</v>
      </c>
    </row>
    <row r="575" spans="1:27" hidden="1" x14ac:dyDescent="0.25">
      <c r="A575" t="s">
        <v>33</v>
      </c>
      <c r="B575">
        <f>IF(COUNTIF(dropdown!B$2:B$12,all_inputs!A575)=1,1,IF(COUNTIF(dropdown!C$2:C$4,all_inputs!A575)=1,2,IF(COUNTIF(dropdown!D$2:D$3,all_inputs!A575)=1,3,"?")))</f>
        <v>1</v>
      </c>
      <c r="C575" t="s">
        <v>16</v>
      </c>
      <c r="D575" t="s">
        <v>467</v>
      </c>
      <c r="E575" t="s">
        <v>473</v>
      </c>
      <c r="F575" s="4">
        <f>IF(AND(all_inputs!E575=dropdown!AC$8, COUNTIF(dropdown!AC$9:AC$19,all_inputs!A575)=1), dropdown!X$12, 1)</f>
        <v>1</v>
      </c>
      <c r="G575" s="4">
        <f>ui!B$4</f>
        <v>2025</v>
      </c>
      <c r="H575" s="4">
        <f>ui!B$5</f>
        <v>2050</v>
      </c>
      <c r="I575" s="4" t="s">
        <v>93</v>
      </c>
      <c r="J575" s="4" t="str">
        <f>VLOOKUP(ui!B$2,dropdown!M:O,3,FALSE)</f>
        <v>LIC</v>
      </c>
      <c r="K575" s="4"/>
      <c r="L575" s="4"/>
      <c r="M575" s="4"/>
      <c r="N575" s="4">
        <f>ui!C$56</f>
        <v>10</v>
      </c>
      <c r="O575" s="4"/>
      <c r="P575" s="4"/>
      <c r="Q575" s="4"/>
      <c r="R575" s="4">
        <f>ui!D$56</f>
        <v>30</v>
      </c>
      <c r="S575" s="4"/>
      <c r="T575" s="4"/>
      <c r="U575" s="4"/>
      <c r="V575" s="4"/>
      <c r="W575" s="4"/>
      <c r="X575" s="4"/>
      <c r="Y575" s="4"/>
      <c r="Z575" s="4"/>
      <c r="AA575" t="b">
        <f>VLOOKUP(E575,ui!A$56:B$56,2,FALSE)</f>
        <v>1</v>
      </c>
    </row>
    <row r="576" spans="1:27" hidden="1" x14ac:dyDescent="0.25">
      <c r="A576" t="s">
        <v>33</v>
      </c>
      <c r="B576">
        <f>IF(COUNTIF(dropdown!B$2:B$12,all_inputs!A576)=1,1,IF(COUNTIF(dropdown!C$2:C$4,all_inputs!A576)=1,2,IF(COUNTIF(dropdown!D$2:D$3,all_inputs!A576)=1,3,"?")))</f>
        <v>1</v>
      </c>
      <c r="C576" t="s">
        <v>17</v>
      </c>
      <c r="D576" t="s">
        <v>468</v>
      </c>
      <c r="E576" t="s">
        <v>473</v>
      </c>
      <c r="F576" s="4">
        <f>IF(AND(all_inputs!E576=dropdown!AC$8, COUNTIF(dropdown!AC$9:AC$19,all_inputs!A576)=1), dropdown!X$13, 1)</f>
        <v>1</v>
      </c>
      <c r="G576" s="4">
        <f>ui!B$4</f>
        <v>2025</v>
      </c>
      <c r="H576" s="4">
        <f>ui!B$5</f>
        <v>2050</v>
      </c>
      <c r="I576" s="4" t="s">
        <v>93</v>
      </c>
      <c r="J576" s="4" t="str">
        <f>VLOOKUP(ui!B$2,dropdown!M:O,3,FALSE)</f>
        <v>LIC</v>
      </c>
      <c r="K576" s="4"/>
      <c r="L576" s="4"/>
      <c r="M576" s="4"/>
      <c r="N576" s="4">
        <f>ui!C$56</f>
        <v>10</v>
      </c>
      <c r="O576" s="4"/>
      <c r="P576" s="4"/>
      <c r="Q576" s="4"/>
      <c r="R576" s="4">
        <f>ui!D$56</f>
        <v>30</v>
      </c>
      <c r="S576" s="4"/>
      <c r="T576" s="4"/>
      <c r="U576" s="4"/>
      <c r="V576" s="4"/>
      <c r="W576" s="4"/>
      <c r="X576" s="4"/>
      <c r="Y576" s="4"/>
      <c r="Z576" s="4"/>
      <c r="AA576" t="b">
        <f>VLOOKUP(E576,ui!A$56:B$56,2,FALSE)</f>
        <v>1</v>
      </c>
    </row>
    <row r="577" spans="1:27" hidden="1" x14ac:dyDescent="0.25">
      <c r="A577" s="2" t="s">
        <v>33</v>
      </c>
      <c r="B577" s="2">
        <f>IF(COUNTIF(dropdown!B$2:B$12,all_inputs!A577)=1,1,IF(COUNTIF(dropdown!C$2:C$4,all_inputs!A577)=1,2,IF(COUNTIF(dropdown!D$2:D$3,all_inputs!A577)=1,3,"?")))</f>
        <v>1</v>
      </c>
      <c r="C577" s="2" t="s">
        <v>18</v>
      </c>
      <c r="D577" s="2" t="s">
        <v>469</v>
      </c>
      <c r="E577" s="2" t="s">
        <v>473</v>
      </c>
      <c r="F577" s="2">
        <f>IF(AND(all_inputs!E577=dropdown!AC$8, COUNTIF(dropdown!AC$9:AC$19,all_inputs!A577)=1), dropdown!X$14, 1)</f>
        <v>1</v>
      </c>
      <c r="G577" s="5">
        <f>ui!B$4</f>
        <v>2025</v>
      </c>
      <c r="H577" s="5">
        <f>ui!B$5</f>
        <v>2050</v>
      </c>
      <c r="I577" s="5" t="s">
        <v>93</v>
      </c>
      <c r="J577" s="5" t="str">
        <f>VLOOKUP(ui!B$2,dropdown!M:O,3,FALSE)</f>
        <v>LIC</v>
      </c>
      <c r="K577" s="5"/>
      <c r="L577" s="5"/>
      <c r="M577" s="5"/>
      <c r="N577" s="5">
        <f>ui!C$56</f>
        <v>10</v>
      </c>
      <c r="O577" s="5"/>
      <c r="P577" s="5"/>
      <c r="Q577" s="5"/>
      <c r="R577" s="5">
        <f>ui!D$56</f>
        <v>30</v>
      </c>
      <c r="S577" s="5"/>
      <c r="T577" s="5"/>
      <c r="U577" s="5"/>
      <c r="V577" s="5"/>
      <c r="W577" s="5"/>
      <c r="X577" s="5"/>
      <c r="Y577" s="5"/>
      <c r="Z577" s="5"/>
      <c r="AA577" s="2" t="b">
        <f>VLOOKUP(E577,ui!A$56:B$56,2,FALSE)</f>
        <v>1</v>
      </c>
    </row>
  </sheetData>
  <protectedRanges>
    <protectedRange algorithmName="SHA-512" hashValue="9lRkVPsQB6NjDMtQNeybZw6cJLQ0iMjlapVbRJ70xXubUgL+1B35HAjodTVMHxXXKRjNCQ4oTO9TdPj9C8ipQg==" saltValue="MWDEJ+IWnl5VvK3IAZrCTg==" spinCount="100000" sqref="AA2:AA577" name="Include intervention_3"/>
    <protectedRange algorithmName="SHA-512" hashValue="Dwq0VpyOqNjBNzS13/vCyG+ZSdHKwjuR4+wlHVYKvWRfzFi0gWOeyZiDGa/Y2ZrPrU1R0vCR0NqXdA6QhTw0eA==" saltValue="5N3HR2wAGYKBDiviLaYF9A==" spinCount="100000" sqref="F99 F106:F110 F112:F116 F118:F121 F135 F123 F125:F127 F129 F133 F137:F139 F141 F145 F147 F151 F153 F157 F159 F163 F171 F175 F189 F165 F167:F169 F177 F179:F181 F183 F185:F187 F101:F104 F483 F490:F494 F496:F500 F502:F505 F519 F507 F509:F511 F513 F517 F521:F523 F525 F529 F531 F535 F537 F541 F543 F547 F555 F559 F573 F577 F549 F551:F553 F561 F563:F565 F567 F569:F571 F485:F488 F2:F97 F291 F298:F302 F304:F308 F310:F313 F327 F315 F317:F319 F321 F325 F329:F331 F333 F337 F339 F343 F345 F349 F351 F355 F363 F367 F381 F385 F357 F359:F361 F369 F371:F373 F375 F377:F379 F293:F296 F193:F289" name="Effect size input"/>
  </protectedRanges>
  <autoFilter ref="A1:AA577" xr:uid="{C664BBD6-FA17-4071-8391-3211FCC8A0E0}">
    <filterColumn colId="4">
      <filters>
        <filter val="Standard of care treatment"/>
      </filters>
    </filterColumn>
  </autoFilter>
  <dataValidations count="3">
    <dataValidation allowBlank="1" showInputMessage="1" showErrorMessage="1" errorTitle="Input error" error="Inputted value not between 2005 and 2050" promptTitle="Year scale-up begins" prompt="Input any value between 2005 and 2050" sqref="I1:I1048576 K1:R1048576" xr:uid="{4FA9D8EC-5E15-43A3-86B7-55C4B9E45BE1}"/>
    <dataValidation type="custom" allowBlank="1" showInputMessage="1" showErrorMessage="1" errorTitle="Input error" error="Inputted value not between 2005 and 2050" promptTitle="Year scale-up begins" prompt="Input any value between 2005 and 2050" sqref="G2:H577 J2:J577" xr:uid="{840D57AF-36A1-4569-A6FB-F12DABFF5B0F}">
      <formula1>#REF!</formula1>
    </dataValidation>
    <dataValidation type="decimal" allowBlank="1" showInputMessage="1" showErrorMessage="1" sqref="F1:F398 F400:F404 F406:F1048576" xr:uid="{52B2E93F-9A7B-4075-8C5E-7B88700C3E8E}">
      <formula1>0</formula1>
      <formula2>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6B9B-842D-4DDD-A46E-F4834270224F}">
  <dimension ref="A1:AP190"/>
  <sheetViews>
    <sheetView topLeftCell="B142" workbookViewId="0">
      <selection activeCell="O153" sqref="O153"/>
    </sheetView>
  </sheetViews>
  <sheetFormatPr defaultRowHeight="15" x14ac:dyDescent="0.25"/>
  <cols>
    <col min="1" max="1" width="34.140625" bestFit="1" customWidth="1"/>
    <col min="2" max="2" width="23.7109375" bestFit="1" customWidth="1"/>
    <col min="3" max="3" width="34.140625" bestFit="1" customWidth="1"/>
    <col min="4" max="4" width="23.42578125" bestFit="1" customWidth="1"/>
    <col min="13" max="13" width="31.28515625" style="4" bestFit="1" customWidth="1"/>
    <col min="14" max="15" width="9.140625" style="4"/>
    <col min="20" max="20" width="26.42578125" bestFit="1" customWidth="1"/>
  </cols>
  <sheetData>
    <row r="1" spans="1:42" x14ac:dyDescent="0.25">
      <c r="A1" s="15" t="s">
        <v>442</v>
      </c>
      <c r="B1" s="15" t="s">
        <v>452</v>
      </c>
      <c r="C1" s="15" t="s">
        <v>453</v>
      </c>
      <c r="D1" s="15" t="s">
        <v>454</v>
      </c>
      <c r="F1" s="15" t="s">
        <v>34</v>
      </c>
      <c r="G1" s="4"/>
      <c r="H1" s="4"/>
      <c r="I1" s="15" t="s">
        <v>2</v>
      </c>
      <c r="J1" s="4"/>
      <c r="K1" s="15" t="s">
        <v>11</v>
      </c>
      <c r="M1" s="15" t="s">
        <v>246</v>
      </c>
      <c r="N1" s="15" t="s">
        <v>247</v>
      </c>
      <c r="O1" s="15" t="s">
        <v>2</v>
      </c>
      <c r="Q1" s="15" t="s">
        <v>483</v>
      </c>
      <c r="R1" s="15" t="s">
        <v>445</v>
      </c>
      <c r="T1" s="15" t="s">
        <v>437</v>
      </c>
      <c r="U1" s="15" t="s">
        <v>446</v>
      </c>
      <c r="V1" s="15" t="s">
        <v>447</v>
      </c>
      <c r="W1" s="15" t="s">
        <v>448</v>
      </c>
      <c r="X1" s="15" t="s">
        <v>449</v>
      </c>
      <c r="Y1" s="15" t="s">
        <v>450</v>
      </c>
      <c r="Z1" s="15" t="s">
        <v>451</v>
      </c>
    </row>
    <row r="2" spans="1:42" x14ac:dyDescent="0.25">
      <c r="A2" s="4" t="s">
        <v>12</v>
      </c>
      <c r="B2" s="4" t="s">
        <v>12</v>
      </c>
      <c r="C2" s="4" t="s">
        <v>19</v>
      </c>
      <c r="D2" s="4" t="s">
        <v>20</v>
      </c>
      <c r="F2" s="4" t="s">
        <v>35</v>
      </c>
      <c r="G2" s="7">
        <v>0.8</v>
      </c>
      <c r="H2" s="4"/>
      <c r="I2" s="4" t="s">
        <v>36</v>
      </c>
      <c r="J2" s="4"/>
      <c r="K2" s="4" t="b">
        <v>1</v>
      </c>
      <c r="M2" s="4" t="s">
        <v>59</v>
      </c>
      <c r="N2" s="4" t="s">
        <v>248</v>
      </c>
      <c r="O2" s="4" t="s">
        <v>41</v>
      </c>
      <c r="Q2" s="17">
        <v>2005</v>
      </c>
      <c r="R2" s="17">
        <v>2006</v>
      </c>
      <c r="T2" s="17" t="s">
        <v>438</v>
      </c>
      <c r="U2" s="17">
        <v>0.3</v>
      </c>
      <c r="V2" s="17">
        <v>0.5</v>
      </c>
      <c r="W2" s="17">
        <v>0.5</v>
      </c>
      <c r="X2" s="17">
        <v>0.7</v>
      </c>
      <c r="Y2" s="17">
        <v>0.8</v>
      </c>
      <c r="Z2" s="17">
        <v>0.6</v>
      </c>
      <c r="AA2" s="4" t="s">
        <v>12</v>
      </c>
      <c r="AB2" s="4" t="s">
        <v>20</v>
      </c>
      <c r="AC2" s="4" t="s">
        <v>21</v>
      </c>
      <c r="AD2" s="4" t="s">
        <v>22</v>
      </c>
      <c r="AE2" s="4" t="s">
        <v>23</v>
      </c>
      <c r="AF2" s="4" t="s">
        <v>24</v>
      </c>
      <c r="AG2" s="4" t="s">
        <v>25</v>
      </c>
      <c r="AH2" s="4" t="s">
        <v>26</v>
      </c>
      <c r="AI2" s="4" t="s">
        <v>28</v>
      </c>
      <c r="AJ2" s="4" t="s">
        <v>30</v>
      </c>
      <c r="AK2" s="4" t="s">
        <v>32</v>
      </c>
    </row>
    <row r="3" spans="1:42" x14ac:dyDescent="0.25">
      <c r="A3" s="4" t="s">
        <v>19</v>
      </c>
      <c r="B3" s="4" t="s">
        <v>22</v>
      </c>
      <c r="C3" s="4" t="s">
        <v>29</v>
      </c>
      <c r="D3" s="4" t="s">
        <v>21</v>
      </c>
      <c r="F3" s="4" t="s">
        <v>37</v>
      </c>
      <c r="G3" s="7">
        <v>0.8</v>
      </c>
      <c r="H3" s="4"/>
      <c r="I3" s="4" t="s">
        <v>3</v>
      </c>
      <c r="J3" s="4"/>
      <c r="K3" s="4" t="b">
        <v>0</v>
      </c>
      <c r="M3" s="4" t="s">
        <v>60</v>
      </c>
      <c r="N3" s="4" t="s">
        <v>249</v>
      </c>
      <c r="O3" s="4" t="s">
        <v>3</v>
      </c>
      <c r="Q3" s="17">
        <v>2006</v>
      </c>
      <c r="R3" s="17">
        <v>2007</v>
      </c>
      <c r="T3" s="17" t="s">
        <v>439</v>
      </c>
      <c r="U3" s="17">
        <v>1</v>
      </c>
      <c r="V3" s="17">
        <v>0.8</v>
      </c>
      <c r="W3" s="17">
        <v>0.9</v>
      </c>
      <c r="X3" s="17">
        <v>1</v>
      </c>
      <c r="Y3" s="17">
        <v>1</v>
      </c>
      <c r="Z3" s="17">
        <v>0.9</v>
      </c>
      <c r="AA3" s="4" t="s">
        <v>19</v>
      </c>
      <c r="AB3" s="4" t="s">
        <v>21</v>
      </c>
      <c r="AC3" s="4" t="s">
        <v>22</v>
      </c>
      <c r="AD3" s="4" t="s">
        <v>23</v>
      </c>
      <c r="AE3" s="4" t="s">
        <v>24</v>
      </c>
      <c r="AF3" s="4" t="s">
        <v>25</v>
      </c>
      <c r="AG3" s="4" t="s">
        <v>26</v>
      </c>
      <c r="AH3" s="4" t="s">
        <v>27</v>
      </c>
      <c r="AI3" s="4" t="s">
        <v>28</v>
      </c>
      <c r="AJ3" s="4" t="s">
        <v>30</v>
      </c>
    </row>
    <row r="4" spans="1:42" x14ac:dyDescent="0.25">
      <c r="A4" s="4" t="s">
        <v>20</v>
      </c>
      <c r="B4" s="4" t="s">
        <v>23</v>
      </c>
      <c r="C4" s="4" t="s">
        <v>32</v>
      </c>
      <c r="F4" s="4" t="s">
        <v>38</v>
      </c>
      <c r="G4" s="7">
        <v>0.9</v>
      </c>
      <c r="H4" s="4"/>
      <c r="I4" s="4" t="s">
        <v>39</v>
      </c>
      <c r="J4" s="4"/>
      <c r="K4" s="4"/>
      <c r="M4" s="4" t="s">
        <v>61</v>
      </c>
      <c r="N4" s="4" t="s">
        <v>250</v>
      </c>
      <c r="O4" s="4" t="s">
        <v>39</v>
      </c>
      <c r="Q4" s="17">
        <v>2007</v>
      </c>
      <c r="R4" s="17">
        <v>2008</v>
      </c>
      <c r="T4" s="17" t="s">
        <v>440</v>
      </c>
      <c r="U4" s="17">
        <v>0.3</v>
      </c>
      <c r="V4" s="17">
        <v>0.2</v>
      </c>
      <c r="W4" s="17">
        <v>0.2</v>
      </c>
      <c r="X4" s="17">
        <v>0.4</v>
      </c>
      <c r="Y4" s="17">
        <v>0.5</v>
      </c>
      <c r="Z4" s="17">
        <v>0.6</v>
      </c>
      <c r="AA4" s="4" t="s">
        <v>444</v>
      </c>
      <c r="AB4" s="4" t="s">
        <v>19</v>
      </c>
      <c r="AC4" s="4" t="s">
        <v>20</v>
      </c>
      <c r="AD4" s="4" t="s">
        <v>21</v>
      </c>
      <c r="AE4" s="4" t="s">
        <v>22</v>
      </c>
      <c r="AF4" s="4" t="s">
        <v>23</v>
      </c>
      <c r="AG4" s="4" t="s">
        <v>24</v>
      </c>
      <c r="AH4" s="4" t="s">
        <v>25</v>
      </c>
      <c r="AI4" s="4" t="s">
        <v>26</v>
      </c>
      <c r="AJ4" s="4" t="s">
        <v>27</v>
      </c>
      <c r="AK4" s="4" t="s">
        <v>28</v>
      </c>
      <c r="AL4" s="4" t="s">
        <v>29</v>
      </c>
      <c r="AM4" s="4" t="s">
        <v>30</v>
      </c>
      <c r="AN4" s="4" t="s">
        <v>31</v>
      </c>
      <c r="AO4" s="4" t="s">
        <v>32</v>
      </c>
      <c r="AP4" s="4" t="s">
        <v>33</v>
      </c>
    </row>
    <row r="5" spans="1:42" x14ac:dyDescent="0.25">
      <c r="A5" s="4" t="s">
        <v>21</v>
      </c>
      <c r="B5" s="4" t="s">
        <v>24</v>
      </c>
      <c r="F5" s="4" t="s">
        <v>40</v>
      </c>
      <c r="G5" s="7">
        <v>0.9</v>
      </c>
      <c r="H5" s="4"/>
      <c r="I5" s="4" t="s">
        <v>41</v>
      </c>
      <c r="J5" s="4"/>
      <c r="K5" s="4"/>
      <c r="M5" s="4" t="s">
        <v>62</v>
      </c>
      <c r="N5" s="4" t="s">
        <v>251</v>
      </c>
      <c r="O5" s="4" t="s">
        <v>39</v>
      </c>
      <c r="Q5" s="17">
        <v>2008</v>
      </c>
      <c r="R5" s="17">
        <v>2009</v>
      </c>
      <c r="T5" s="17" t="s">
        <v>441</v>
      </c>
      <c r="U5" s="17">
        <v>1</v>
      </c>
      <c r="V5" s="17">
        <v>1</v>
      </c>
      <c r="W5" s="17">
        <v>1</v>
      </c>
      <c r="X5" s="17">
        <v>1</v>
      </c>
      <c r="Y5" s="17">
        <v>1</v>
      </c>
      <c r="Z5" s="17">
        <v>0.5</v>
      </c>
      <c r="AA5" s="4" t="s">
        <v>444</v>
      </c>
      <c r="AB5" s="4" t="s">
        <v>19</v>
      </c>
      <c r="AC5" s="4" t="s">
        <v>20</v>
      </c>
      <c r="AD5" s="4" t="s">
        <v>21</v>
      </c>
      <c r="AE5" s="4" t="s">
        <v>22</v>
      </c>
      <c r="AF5" s="4" t="s">
        <v>23</v>
      </c>
      <c r="AG5" s="4" t="s">
        <v>24</v>
      </c>
      <c r="AH5" s="4" t="s">
        <v>25</v>
      </c>
      <c r="AI5" s="4" t="s">
        <v>26</v>
      </c>
      <c r="AJ5" s="4" t="s">
        <v>27</v>
      </c>
      <c r="AK5" s="4" t="s">
        <v>28</v>
      </c>
      <c r="AL5" s="4" t="s">
        <v>29</v>
      </c>
      <c r="AM5" s="4" t="s">
        <v>30</v>
      </c>
      <c r="AN5" s="4" t="s">
        <v>31</v>
      </c>
      <c r="AO5" s="4" t="s">
        <v>32</v>
      </c>
      <c r="AP5" s="4" t="s">
        <v>33</v>
      </c>
    </row>
    <row r="6" spans="1:42" x14ac:dyDescent="0.25">
      <c r="A6" s="4" t="s">
        <v>22</v>
      </c>
      <c r="B6" s="4" t="s">
        <v>25</v>
      </c>
      <c r="F6" s="4" t="s">
        <v>42</v>
      </c>
      <c r="G6" s="7">
        <v>0.9</v>
      </c>
      <c r="H6" s="4"/>
      <c r="I6" s="4"/>
      <c r="J6" s="4"/>
      <c r="K6" s="4"/>
      <c r="M6" s="4" t="s">
        <v>63</v>
      </c>
      <c r="N6" s="4" t="s">
        <v>252</v>
      </c>
      <c r="O6" s="4" t="s">
        <v>36</v>
      </c>
      <c r="Q6" s="17">
        <v>2009</v>
      </c>
      <c r="R6" s="17">
        <v>2010</v>
      </c>
      <c r="T6" s="16"/>
    </row>
    <row r="7" spans="1:42" x14ac:dyDescent="0.25">
      <c r="A7" s="4" t="s">
        <v>23</v>
      </c>
      <c r="B7" s="4" t="s">
        <v>26</v>
      </c>
      <c r="M7" s="4" t="s">
        <v>64</v>
      </c>
      <c r="N7" s="4" t="s">
        <v>253</v>
      </c>
      <c r="O7" s="4" t="s">
        <v>3</v>
      </c>
      <c r="Q7" s="17">
        <v>2010</v>
      </c>
      <c r="R7" s="17">
        <v>2011</v>
      </c>
    </row>
    <row r="8" spans="1:42" x14ac:dyDescent="0.25">
      <c r="A8" s="4" t="s">
        <v>24</v>
      </c>
      <c r="B8" s="4" t="s">
        <v>27</v>
      </c>
      <c r="M8" s="4" t="s">
        <v>65</v>
      </c>
      <c r="N8" s="4" t="s">
        <v>254</v>
      </c>
      <c r="O8" s="4" t="s">
        <v>3</v>
      </c>
      <c r="Q8" s="17">
        <v>2011</v>
      </c>
      <c r="R8" s="17">
        <v>2012</v>
      </c>
      <c r="T8" s="17"/>
      <c r="U8" s="19" t="s">
        <v>438</v>
      </c>
      <c r="V8" s="19" t="s">
        <v>439</v>
      </c>
      <c r="W8" s="19" t="s">
        <v>440</v>
      </c>
      <c r="X8" s="19" t="s">
        <v>441</v>
      </c>
      <c r="Z8" s="19" t="s">
        <v>438</v>
      </c>
      <c r="AA8" s="19" t="s">
        <v>439</v>
      </c>
      <c r="AB8" s="19" t="s">
        <v>440</v>
      </c>
      <c r="AC8" s="19" t="s">
        <v>441</v>
      </c>
    </row>
    <row r="9" spans="1:42" x14ac:dyDescent="0.25">
      <c r="A9" s="4" t="s">
        <v>25</v>
      </c>
      <c r="B9" s="4" t="s">
        <v>28</v>
      </c>
      <c r="M9" s="4" t="s">
        <v>66</v>
      </c>
      <c r="N9" s="4" t="s">
        <v>255</v>
      </c>
      <c r="O9" s="4" t="s">
        <v>36</v>
      </c>
      <c r="Q9" s="17">
        <v>2012</v>
      </c>
      <c r="R9" s="17">
        <v>2013</v>
      </c>
      <c r="T9" s="15" t="s">
        <v>446</v>
      </c>
      <c r="U9" s="17">
        <v>0.3</v>
      </c>
      <c r="V9" s="17">
        <v>1</v>
      </c>
      <c r="W9" s="17">
        <v>0.3</v>
      </c>
      <c r="X9" s="17">
        <v>1</v>
      </c>
      <c r="Z9" s="4" t="s">
        <v>12</v>
      </c>
      <c r="AA9" s="4" t="s">
        <v>19</v>
      </c>
      <c r="AB9" s="4" t="s">
        <v>12</v>
      </c>
      <c r="AC9" s="4" t="s">
        <v>444</v>
      </c>
    </row>
    <row r="10" spans="1:42" x14ac:dyDescent="0.25">
      <c r="A10" s="4" t="s">
        <v>26</v>
      </c>
      <c r="B10" s="4" t="s">
        <v>30</v>
      </c>
      <c r="D10" s="15" t="s">
        <v>492</v>
      </c>
      <c r="M10" s="4" t="s">
        <v>67</v>
      </c>
      <c r="N10" s="4" t="s">
        <v>256</v>
      </c>
      <c r="O10" s="4" t="s">
        <v>36</v>
      </c>
      <c r="Q10" s="17">
        <v>2013</v>
      </c>
      <c r="R10" s="17">
        <v>2014</v>
      </c>
      <c r="T10" s="15" t="s">
        <v>447</v>
      </c>
      <c r="U10" s="17">
        <v>0.5</v>
      </c>
      <c r="V10" s="17">
        <v>0.8</v>
      </c>
      <c r="W10" s="17">
        <v>0.2</v>
      </c>
      <c r="X10" s="17">
        <v>1</v>
      </c>
      <c r="Z10" s="4" t="s">
        <v>20</v>
      </c>
      <c r="AA10" s="4" t="s">
        <v>21</v>
      </c>
      <c r="AB10" s="4" t="s">
        <v>19</v>
      </c>
      <c r="AC10" s="4" t="s">
        <v>19</v>
      </c>
    </row>
    <row r="11" spans="1:42" x14ac:dyDescent="0.25">
      <c r="A11" s="4" t="s">
        <v>27</v>
      </c>
      <c r="B11" s="4" t="s">
        <v>31</v>
      </c>
      <c r="D11" s="4" t="s">
        <v>493</v>
      </c>
      <c r="M11" s="4" t="s">
        <v>68</v>
      </c>
      <c r="N11" s="4" t="s">
        <v>257</v>
      </c>
      <c r="O11" s="4" t="s">
        <v>3</v>
      </c>
      <c r="Q11" s="17">
        <v>2014</v>
      </c>
      <c r="R11" s="17">
        <v>2015</v>
      </c>
      <c r="T11" s="15" t="s">
        <v>448</v>
      </c>
      <c r="U11" s="17">
        <v>0.5</v>
      </c>
      <c r="V11" s="17">
        <v>0.9</v>
      </c>
      <c r="W11" s="17">
        <v>0.2</v>
      </c>
      <c r="X11" s="17">
        <v>1</v>
      </c>
      <c r="Z11" s="4" t="s">
        <v>21</v>
      </c>
      <c r="AA11" s="4" t="s">
        <v>22</v>
      </c>
      <c r="AB11" s="4" t="s">
        <v>20</v>
      </c>
      <c r="AC11" s="4" t="s">
        <v>20</v>
      </c>
    </row>
    <row r="12" spans="1:42" x14ac:dyDescent="0.25">
      <c r="A12" s="4" t="s">
        <v>28</v>
      </c>
      <c r="B12" s="4" t="s">
        <v>33</v>
      </c>
      <c r="D12" s="4" t="s">
        <v>494</v>
      </c>
      <c r="M12" s="4" t="s">
        <v>69</v>
      </c>
      <c r="N12" s="4" t="s">
        <v>258</v>
      </c>
      <c r="O12" s="4" t="s">
        <v>36</v>
      </c>
      <c r="Q12" s="17">
        <v>2015</v>
      </c>
      <c r="R12" s="17">
        <v>2016</v>
      </c>
      <c r="T12" s="15" t="s">
        <v>449</v>
      </c>
      <c r="U12" s="17">
        <v>0.7</v>
      </c>
      <c r="V12" s="17">
        <v>1</v>
      </c>
      <c r="W12" s="17">
        <v>0.4</v>
      </c>
      <c r="X12" s="17">
        <v>1</v>
      </c>
      <c r="Z12" s="4" t="s">
        <v>22</v>
      </c>
      <c r="AA12" s="4" t="s">
        <v>23</v>
      </c>
      <c r="AB12" s="4" t="s">
        <v>21</v>
      </c>
      <c r="AC12" s="4" t="s">
        <v>21</v>
      </c>
    </row>
    <row r="13" spans="1:42" x14ac:dyDescent="0.25">
      <c r="A13" s="4" t="s">
        <v>29</v>
      </c>
      <c r="M13" s="4" t="s">
        <v>70</v>
      </c>
      <c r="N13" s="4" t="s">
        <v>259</v>
      </c>
      <c r="O13" s="4" t="s">
        <v>36</v>
      </c>
      <c r="Q13" s="17">
        <v>2016</v>
      </c>
      <c r="R13" s="17">
        <v>2017</v>
      </c>
      <c r="T13" s="15" t="s">
        <v>450</v>
      </c>
      <c r="U13" s="17">
        <v>0.8</v>
      </c>
      <c r="V13" s="17">
        <v>1</v>
      </c>
      <c r="W13" s="17">
        <v>0.5</v>
      </c>
      <c r="X13" s="17">
        <v>1</v>
      </c>
      <c r="Z13" s="4" t="s">
        <v>23</v>
      </c>
      <c r="AA13" s="4" t="s">
        <v>24</v>
      </c>
      <c r="AB13" s="4" t="s">
        <v>22</v>
      </c>
      <c r="AC13" s="4" t="s">
        <v>22</v>
      </c>
    </row>
    <row r="14" spans="1:42" x14ac:dyDescent="0.25">
      <c r="A14" s="4" t="s">
        <v>30</v>
      </c>
      <c r="M14" s="4" t="s">
        <v>71</v>
      </c>
      <c r="N14" s="4" t="s">
        <v>260</v>
      </c>
      <c r="O14" s="4" t="s">
        <v>39</v>
      </c>
      <c r="Q14" s="17">
        <v>2017</v>
      </c>
      <c r="R14" s="17">
        <v>2018</v>
      </c>
      <c r="T14" s="15" t="s">
        <v>451</v>
      </c>
      <c r="U14" s="17">
        <v>0.6</v>
      </c>
      <c r="V14" s="17">
        <v>0.9</v>
      </c>
      <c r="W14" s="17">
        <v>0.6</v>
      </c>
      <c r="X14" s="17">
        <v>0.5</v>
      </c>
      <c r="Z14" s="4" t="s">
        <v>24</v>
      </c>
      <c r="AA14" s="4" t="s">
        <v>25</v>
      </c>
      <c r="AB14" s="4" t="s">
        <v>23</v>
      </c>
      <c r="AC14" s="4" t="s">
        <v>23</v>
      </c>
    </row>
    <row r="15" spans="1:42" x14ac:dyDescent="0.25">
      <c r="A15" s="4" t="s">
        <v>31</v>
      </c>
      <c r="M15" s="4" t="s">
        <v>72</v>
      </c>
      <c r="N15" s="4" t="s">
        <v>261</v>
      </c>
      <c r="O15" s="4" t="s">
        <v>36</v>
      </c>
      <c r="Q15" s="17">
        <v>2018</v>
      </c>
      <c r="R15" s="17">
        <v>2019</v>
      </c>
      <c r="Z15" s="4" t="s">
        <v>25</v>
      </c>
      <c r="AA15" s="4" t="s">
        <v>26</v>
      </c>
      <c r="AB15" s="4" t="s">
        <v>24</v>
      </c>
      <c r="AC15" s="4" t="s">
        <v>24</v>
      </c>
    </row>
    <row r="16" spans="1:42" x14ac:dyDescent="0.25">
      <c r="A16" s="4" t="s">
        <v>32</v>
      </c>
      <c r="M16" s="4" t="s">
        <v>73</v>
      </c>
      <c r="N16" s="4" t="s">
        <v>262</v>
      </c>
      <c r="O16" s="4" t="s">
        <v>3</v>
      </c>
      <c r="Q16" s="17">
        <v>2019</v>
      </c>
      <c r="R16" s="17">
        <v>2020</v>
      </c>
      <c r="Z16" s="4" t="s">
        <v>26</v>
      </c>
      <c r="AA16" s="4" t="s">
        <v>27</v>
      </c>
      <c r="AB16" s="4" t="s">
        <v>25</v>
      </c>
      <c r="AC16" s="4" t="s">
        <v>25</v>
      </c>
    </row>
    <row r="17" spans="1:29" x14ac:dyDescent="0.25">
      <c r="A17" s="4" t="s">
        <v>33</v>
      </c>
      <c r="M17" s="4" t="s">
        <v>74</v>
      </c>
      <c r="N17" s="4" t="s">
        <v>263</v>
      </c>
      <c r="O17" s="4" t="s">
        <v>36</v>
      </c>
      <c r="Q17" s="17">
        <v>2020</v>
      </c>
      <c r="R17" s="17">
        <v>2021</v>
      </c>
      <c r="Z17" s="4" t="s">
        <v>28</v>
      </c>
      <c r="AA17" s="4" t="s">
        <v>28</v>
      </c>
      <c r="AB17" s="4" t="s">
        <v>26</v>
      </c>
      <c r="AC17" s="4" t="s">
        <v>26</v>
      </c>
    </row>
    <row r="18" spans="1:29" x14ac:dyDescent="0.25">
      <c r="M18" s="4" t="s">
        <v>75</v>
      </c>
      <c r="N18" s="4" t="s">
        <v>264</v>
      </c>
      <c r="O18" s="4" t="s">
        <v>3</v>
      </c>
      <c r="Q18" s="17">
        <v>2021</v>
      </c>
      <c r="R18" s="17">
        <v>2022</v>
      </c>
      <c r="Z18" s="4" t="s">
        <v>30</v>
      </c>
      <c r="AA18" s="4" t="s">
        <v>30</v>
      </c>
      <c r="AB18" s="4" t="s">
        <v>27</v>
      </c>
      <c r="AC18" s="4" t="s">
        <v>27</v>
      </c>
    </row>
    <row r="19" spans="1:29" x14ac:dyDescent="0.25">
      <c r="M19" s="4" t="s">
        <v>76</v>
      </c>
      <c r="N19" s="4" t="s">
        <v>265</v>
      </c>
      <c r="O19" s="4" t="s">
        <v>39</v>
      </c>
      <c r="Q19" s="17">
        <v>2022</v>
      </c>
      <c r="R19" s="17">
        <v>2023</v>
      </c>
      <c r="Z19" s="4" t="s">
        <v>32</v>
      </c>
      <c r="AB19" s="4" t="s">
        <v>28</v>
      </c>
      <c r="AC19" s="4" t="s">
        <v>28</v>
      </c>
    </row>
    <row r="20" spans="1:29" x14ac:dyDescent="0.25">
      <c r="M20" s="4" t="s">
        <v>77</v>
      </c>
      <c r="N20" s="4" t="s">
        <v>266</v>
      </c>
      <c r="O20" s="4" t="s">
        <v>39</v>
      </c>
      <c r="Q20" s="17">
        <v>2023</v>
      </c>
      <c r="R20" s="17">
        <v>2024</v>
      </c>
      <c r="AB20" s="4" t="s">
        <v>29</v>
      </c>
      <c r="AC20" s="4" t="s">
        <v>29</v>
      </c>
    </row>
    <row r="21" spans="1:29" x14ac:dyDescent="0.25">
      <c r="M21" s="4" t="s">
        <v>78</v>
      </c>
      <c r="N21" s="4" t="s">
        <v>267</v>
      </c>
      <c r="O21" s="4" t="s">
        <v>39</v>
      </c>
      <c r="Q21" s="17">
        <v>2024</v>
      </c>
      <c r="R21" s="17">
        <v>2025</v>
      </c>
      <c r="AB21" s="4" t="s">
        <v>30</v>
      </c>
      <c r="AC21" s="4" t="s">
        <v>30</v>
      </c>
    </row>
    <row r="22" spans="1:29" x14ac:dyDescent="0.25">
      <c r="M22" s="4" t="s">
        <v>79</v>
      </c>
      <c r="N22" s="4" t="s">
        <v>268</v>
      </c>
      <c r="O22" s="4" t="s">
        <v>3</v>
      </c>
      <c r="Q22" s="17">
        <v>2025</v>
      </c>
      <c r="R22" s="17">
        <v>2026</v>
      </c>
      <c r="AB22" s="4" t="s">
        <v>31</v>
      </c>
      <c r="AC22" s="4" t="s">
        <v>31</v>
      </c>
    </row>
    <row r="23" spans="1:29" x14ac:dyDescent="0.25">
      <c r="M23" s="4" t="s">
        <v>80</v>
      </c>
      <c r="N23" s="4" t="s">
        <v>269</v>
      </c>
      <c r="O23" s="4" t="s">
        <v>3</v>
      </c>
      <c r="Q23" s="17">
        <v>2026</v>
      </c>
      <c r="R23" s="17">
        <v>2027</v>
      </c>
      <c r="AB23" s="4" t="s">
        <v>32</v>
      </c>
      <c r="AC23" s="4" t="s">
        <v>32</v>
      </c>
    </row>
    <row r="24" spans="1:29" x14ac:dyDescent="0.25">
      <c r="M24" s="4" t="s">
        <v>81</v>
      </c>
      <c r="N24" s="4" t="s">
        <v>270</v>
      </c>
      <c r="O24" s="4" t="s">
        <v>3</v>
      </c>
      <c r="Q24" s="17">
        <v>2027</v>
      </c>
      <c r="R24" s="17">
        <v>2028</v>
      </c>
      <c r="AB24" s="4" t="s">
        <v>33</v>
      </c>
      <c r="AC24" s="4" t="s">
        <v>33</v>
      </c>
    </row>
    <row r="25" spans="1:29" x14ac:dyDescent="0.25">
      <c r="M25" s="4" t="s">
        <v>82</v>
      </c>
      <c r="N25" s="4" t="s">
        <v>271</v>
      </c>
      <c r="O25" s="4" t="s">
        <v>36</v>
      </c>
      <c r="Q25" s="17">
        <v>2028</v>
      </c>
      <c r="R25" s="17">
        <v>2029</v>
      </c>
    </row>
    <row r="26" spans="1:29" x14ac:dyDescent="0.25">
      <c r="M26" s="4" t="s">
        <v>83</v>
      </c>
      <c r="N26" s="4" t="s">
        <v>272</v>
      </c>
      <c r="O26" s="4" t="s">
        <v>3</v>
      </c>
      <c r="Q26" s="17">
        <v>2029</v>
      </c>
      <c r="R26" s="17">
        <v>2030</v>
      </c>
    </row>
    <row r="27" spans="1:29" x14ac:dyDescent="0.25">
      <c r="M27" s="4" t="s">
        <v>84</v>
      </c>
      <c r="N27" s="4" t="s">
        <v>273</v>
      </c>
      <c r="O27" s="4" t="s">
        <v>41</v>
      </c>
      <c r="Q27" s="17">
        <v>2030</v>
      </c>
      <c r="R27" s="17">
        <v>2031</v>
      </c>
    </row>
    <row r="28" spans="1:29" x14ac:dyDescent="0.25">
      <c r="M28" s="4" t="s">
        <v>85</v>
      </c>
      <c r="N28" s="4" t="s">
        <v>274</v>
      </c>
      <c r="O28" s="4" t="s">
        <v>41</v>
      </c>
      <c r="Q28" s="17">
        <v>2031</v>
      </c>
      <c r="R28" s="17">
        <v>2032</v>
      </c>
    </row>
    <row r="29" spans="1:29" x14ac:dyDescent="0.25">
      <c r="M29" s="4" t="s">
        <v>86</v>
      </c>
      <c r="N29" s="4" t="s">
        <v>275</v>
      </c>
      <c r="O29" s="4" t="s">
        <v>39</v>
      </c>
      <c r="Q29" s="17">
        <v>2032</v>
      </c>
      <c r="R29" s="17">
        <v>2033</v>
      </c>
    </row>
    <row r="30" spans="1:29" x14ac:dyDescent="0.25">
      <c r="M30" s="4" t="s">
        <v>87</v>
      </c>
      <c r="N30" s="4" t="s">
        <v>276</v>
      </c>
      <c r="O30" s="4" t="s">
        <v>39</v>
      </c>
      <c r="Q30" s="17">
        <v>2033</v>
      </c>
      <c r="R30" s="17">
        <v>2034</v>
      </c>
    </row>
    <row r="31" spans="1:29" x14ac:dyDescent="0.25">
      <c r="M31" s="4" t="s">
        <v>88</v>
      </c>
      <c r="N31" s="4" t="s">
        <v>277</v>
      </c>
      <c r="O31" s="4" t="s">
        <v>36</v>
      </c>
      <c r="Q31" s="17">
        <v>2034</v>
      </c>
      <c r="R31" s="17">
        <v>2035</v>
      </c>
    </row>
    <row r="32" spans="1:29" x14ac:dyDescent="0.25">
      <c r="M32" s="4" t="s">
        <v>89</v>
      </c>
      <c r="N32" s="4" t="s">
        <v>278</v>
      </c>
      <c r="O32" s="4" t="s">
        <v>39</v>
      </c>
      <c r="Q32" s="17">
        <v>2035</v>
      </c>
      <c r="R32" s="17">
        <v>2036</v>
      </c>
    </row>
    <row r="33" spans="13:18" x14ac:dyDescent="0.25">
      <c r="M33" s="4" t="s">
        <v>90</v>
      </c>
      <c r="N33" s="4" t="s">
        <v>279</v>
      </c>
      <c r="O33" s="4" t="s">
        <v>41</v>
      </c>
      <c r="Q33" s="17">
        <v>2036</v>
      </c>
      <c r="R33" s="17">
        <v>2037</v>
      </c>
    </row>
    <row r="34" spans="13:18" x14ac:dyDescent="0.25">
      <c r="M34" s="4" t="s">
        <v>91</v>
      </c>
      <c r="N34" s="4" t="s">
        <v>280</v>
      </c>
      <c r="O34" s="4" t="s">
        <v>41</v>
      </c>
      <c r="Q34" s="17">
        <v>2037</v>
      </c>
      <c r="R34" s="17">
        <v>2038</v>
      </c>
    </row>
    <row r="35" spans="13:18" x14ac:dyDescent="0.25">
      <c r="M35" s="4" t="s">
        <v>92</v>
      </c>
      <c r="N35" s="4" t="s">
        <v>281</v>
      </c>
      <c r="O35" s="4" t="s">
        <v>36</v>
      </c>
      <c r="Q35" s="17">
        <v>2038</v>
      </c>
      <c r="R35" s="17">
        <v>2039</v>
      </c>
    </row>
    <row r="36" spans="13:18" x14ac:dyDescent="0.25">
      <c r="M36" s="4" t="s">
        <v>93</v>
      </c>
      <c r="N36" s="4" t="s">
        <v>282</v>
      </c>
      <c r="O36" s="4" t="s">
        <v>3</v>
      </c>
      <c r="Q36" s="17">
        <v>2039</v>
      </c>
      <c r="R36" s="17">
        <v>2040</v>
      </c>
    </row>
    <row r="37" spans="13:18" x14ac:dyDescent="0.25">
      <c r="M37" s="4" t="s">
        <v>94</v>
      </c>
      <c r="N37" s="4" t="s">
        <v>283</v>
      </c>
      <c r="O37" s="4" t="s">
        <v>3</v>
      </c>
      <c r="Q37" s="17">
        <v>2040</v>
      </c>
      <c r="R37" s="17">
        <v>2041</v>
      </c>
    </row>
    <row r="38" spans="13:18" x14ac:dyDescent="0.25">
      <c r="M38" s="4" t="s">
        <v>95</v>
      </c>
      <c r="N38" s="4" t="s">
        <v>284</v>
      </c>
      <c r="O38" s="4" t="s">
        <v>39</v>
      </c>
      <c r="Q38" s="17">
        <v>2041</v>
      </c>
      <c r="R38" s="17">
        <v>2042</v>
      </c>
    </row>
    <row r="39" spans="13:18" x14ac:dyDescent="0.25">
      <c r="M39" s="4" t="s">
        <v>96</v>
      </c>
      <c r="N39" s="4" t="s">
        <v>285</v>
      </c>
      <c r="O39" s="4" t="s">
        <v>39</v>
      </c>
      <c r="Q39" s="17">
        <v>2042</v>
      </c>
      <c r="R39" s="17">
        <v>2043</v>
      </c>
    </row>
    <row r="40" spans="13:18" x14ac:dyDescent="0.25">
      <c r="M40" s="4" t="s">
        <v>97</v>
      </c>
      <c r="N40" s="4" t="s">
        <v>286</v>
      </c>
      <c r="O40" s="4" t="s">
        <v>3</v>
      </c>
      <c r="Q40" s="17">
        <v>2043</v>
      </c>
      <c r="R40" s="17">
        <v>2044</v>
      </c>
    </row>
    <row r="41" spans="13:18" x14ac:dyDescent="0.25">
      <c r="M41" s="4" t="s">
        <v>98</v>
      </c>
      <c r="N41" s="4" t="s">
        <v>287</v>
      </c>
      <c r="O41" s="4" t="s">
        <v>39</v>
      </c>
      <c r="Q41" s="17">
        <v>2044</v>
      </c>
      <c r="R41" s="17">
        <v>2045</v>
      </c>
    </row>
    <row r="42" spans="13:18" x14ac:dyDescent="0.25">
      <c r="M42" s="4" t="s">
        <v>99</v>
      </c>
      <c r="N42" s="4" t="s">
        <v>288</v>
      </c>
      <c r="O42" s="4" t="s">
        <v>36</v>
      </c>
      <c r="Q42" s="17">
        <v>2045</v>
      </c>
      <c r="R42" s="17">
        <v>2046</v>
      </c>
    </row>
    <row r="43" spans="13:18" x14ac:dyDescent="0.25">
      <c r="M43" s="4" t="s">
        <v>100</v>
      </c>
      <c r="N43" s="4" t="s">
        <v>289</v>
      </c>
      <c r="O43" s="4" t="s">
        <v>3</v>
      </c>
      <c r="Q43" s="17">
        <v>2046</v>
      </c>
      <c r="R43" s="17">
        <v>2047</v>
      </c>
    </row>
    <row r="44" spans="13:18" x14ac:dyDescent="0.25">
      <c r="M44" s="4" t="s">
        <v>101</v>
      </c>
      <c r="N44" s="4" t="s">
        <v>290</v>
      </c>
      <c r="O44" s="4" t="s">
        <v>36</v>
      </c>
      <c r="Q44" s="17">
        <v>2047</v>
      </c>
      <c r="R44" s="17">
        <v>2048</v>
      </c>
    </row>
    <row r="45" spans="13:18" x14ac:dyDescent="0.25">
      <c r="M45" s="4" t="s">
        <v>102</v>
      </c>
      <c r="N45" s="4" t="s">
        <v>291</v>
      </c>
      <c r="O45" s="4" t="s">
        <v>36</v>
      </c>
      <c r="Q45" s="17">
        <v>2048</v>
      </c>
      <c r="R45" s="17">
        <v>2049</v>
      </c>
    </row>
    <row r="46" spans="13:18" x14ac:dyDescent="0.25">
      <c r="M46" s="4" t="s">
        <v>103</v>
      </c>
      <c r="N46" s="4" t="s">
        <v>292</v>
      </c>
      <c r="O46" s="4" t="s">
        <v>41</v>
      </c>
      <c r="Q46" s="17">
        <v>2049</v>
      </c>
      <c r="R46" s="17">
        <v>2050</v>
      </c>
    </row>
    <row r="47" spans="13:18" x14ac:dyDescent="0.25">
      <c r="M47" s="4" t="s">
        <v>104</v>
      </c>
      <c r="N47" s="4" t="s">
        <v>293</v>
      </c>
      <c r="O47" s="4" t="s">
        <v>36</v>
      </c>
      <c r="Q47" s="17">
        <v>2050</v>
      </c>
    </row>
    <row r="48" spans="13:18" x14ac:dyDescent="0.25">
      <c r="M48" s="4" t="s">
        <v>105</v>
      </c>
      <c r="N48" s="4" t="s">
        <v>294</v>
      </c>
      <c r="O48" s="4" t="s">
        <v>39</v>
      </c>
    </row>
    <row r="49" spans="13:15" x14ac:dyDescent="0.25">
      <c r="M49" s="4" t="s">
        <v>106</v>
      </c>
      <c r="N49" s="4" t="s">
        <v>295</v>
      </c>
      <c r="O49" s="4" t="s">
        <v>3</v>
      </c>
    </row>
    <row r="50" spans="13:15" x14ac:dyDescent="0.25">
      <c r="M50" s="4" t="s">
        <v>106</v>
      </c>
      <c r="N50" s="4" t="s">
        <v>296</v>
      </c>
      <c r="O50" s="4" t="s">
        <v>3</v>
      </c>
    </row>
    <row r="51" spans="13:15" x14ac:dyDescent="0.25">
      <c r="M51" s="4" t="s">
        <v>107</v>
      </c>
      <c r="N51" s="4" t="s">
        <v>297</v>
      </c>
      <c r="O51" s="4" t="s">
        <v>3</v>
      </c>
    </row>
    <row r="52" spans="13:15" x14ac:dyDescent="0.25">
      <c r="M52" s="4" t="s">
        <v>108</v>
      </c>
      <c r="N52" s="4" t="s">
        <v>298</v>
      </c>
      <c r="O52" s="4" t="s">
        <v>39</v>
      </c>
    </row>
    <row r="53" spans="13:15" x14ac:dyDescent="0.25">
      <c r="M53" s="4" t="s">
        <v>109</v>
      </c>
      <c r="N53" s="4" t="s">
        <v>299</v>
      </c>
      <c r="O53" s="4" t="s">
        <v>3</v>
      </c>
    </row>
    <row r="54" spans="13:15" x14ac:dyDescent="0.25">
      <c r="M54" s="4" t="s">
        <v>110</v>
      </c>
      <c r="N54" s="4" t="s">
        <v>300</v>
      </c>
      <c r="O54" s="4" t="s">
        <v>3</v>
      </c>
    </row>
    <row r="55" spans="13:15" x14ac:dyDescent="0.25">
      <c r="M55" s="4" t="s">
        <v>111</v>
      </c>
      <c r="N55" s="4" t="s">
        <v>301</v>
      </c>
      <c r="O55" s="4" t="s">
        <v>41</v>
      </c>
    </row>
    <row r="56" spans="13:15" x14ac:dyDescent="0.25">
      <c r="M56" s="4" t="s">
        <v>112</v>
      </c>
      <c r="N56" s="4" t="s">
        <v>302</v>
      </c>
      <c r="O56" s="4" t="s">
        <v>36</v>
      </c>
    </row>
    <row r="57" spans="13:15" x14ac:dyDescent="0.25">
      <c r="M57" s="4" t="s">
        <v>113</v>
      </c>
      <c r="N57" s="4" t="s">
        <v>303</v>
      </c>
      <c r="O57" s="4" t="s">
        <v>39</v>
      </c>
    </row>
    <row r="58" spans="13:15" x14ac:dyDescent="0.25">
      <c r="M58" s="4" t="s">
        <v>114</v>
      </c>
      <c r="N58" s="4" t="s">
        <v>304</v>
      </c>
      <c r="O58" s="4" t="s">
        <v>41</v>
      </c>
    </row>
    <row r="59" spans="13:15" x14ac:dyDescent="0.25">
      <c r="M59" s="4" t="s">
        <v>115</v>
      </c>
      <c r="N59" s="4" t="s">
        <v>305</v>
      </c>
      <c r="O59" s="4" t="s">
        <v>3</v>
      </c>
    </row>
    <row r="60" spans="13:15" x14ac:dyDescent="0.25">
      <c r="M60" s="4" t="s">
        <v>116</v>
      </c>
      <c r="N60" s="4" t="s">
        <v>306</v>
      </c>
      <c r="O60" s="4" t="s">
        <v>36</v>
      </c>
    </row>
    <row r="61" spans="13:15" x14ac:dyDescent="0.25">
      <c r="M61" s="4" t="s">
        <v>117</v>
      </c>
      <c r="N61" s="4" t="s">
        <v>307</v>
      </c>
      <c r="O61" s="4" t="s">
        <v>36</v>
      </c>
    </row>
    <row r="62" spans="13:15" x14ac:dyDescent="0.25">
      <c r="M62" s="4" t="s">
        <v>118</v>
      </c>
      <c r="N62" s="4" t="s">
        <v>308</v>
      </c>
      <c r="O62" s="4" t="s">
        <v>3</v>
      </c>
    </row>
    <row r="63" spans="13:15" x14ac:dyDescent="0.25">
      <c r="M63" s="4" t="s">
        <v>119</v>
      </c>
      <c r="N63" s="4" t="s">
        <v>309</v>
      </c>
      <c r="O63" s="4" t="s">
        <v>41</v>
      </c>
    </row>
    <row r="64" spans="13:15" x14ac:dyDescent="0.25">
      <c r="M64" s="4" t="s">
        <v>120</v>
      </c>
      <c r="N64" s="4" t="s">
        <v>310</v>
      </c>
      <c r="O64" s="4" t="s">
        <v>3</v>
      </c>
    </row>
    <row r="65" spans="13:15" x14ac:dyDescent="0.25">
      <c r="M65" s="4" t="s">
        <v>121</v>
      </c>
      <c r="N65" s="4" t="s">
        <v>311</v>
      </c>
      <c r="O65" s="4" t="s">
        <v>36</v>
      </c>
    </row>
    <row r="66" spans="13:15" x14ac:dyDescent="0.25">
      <c r="M66" s="4" t="s">
        <v>122</v>
      </c>
      <c r="N66" s="4" t="s">
        <v>312</v>
      </c>
      <c r="O66" s="4" t="s">
        <v>39</v>
      </c>
    </row>
    <row r="67" spans="13:15" x14ac:dyDescent="0.25">
      <c r="M67" s="4" t="s">
        <v>123</v>
      </c>
      <c r="N67" s="4" t="s">
        <v>313</v>
      </c>
      <c r="O67" s="4" t="s">
        <v>36</v>
      </c>
    </row>
    <row r="68" spans="13:15" x14ac:dyDescent="0.25">
      <c r="M68" s="4" t="s">
        <v>124</v>
      </c>
      <c r="N68" s="4" t="s">
        <v>314</v>
      </c>
      <c r="O68" s="4" t="s">
        <v>3</v>
      </c>
    </row>
    <row r="69" spans="13:15" x14ac:dyDescent="0.25">
      <c r="M69" s="4" t="s">
        <v>125</v>
      </c>
      <c r="N69" s="4" t="s">
        <v>315</v>
      </c>
      <c r="O69" s="4" t="s">
        <v>36</v>
      </c>
    </row>
    <row r="70" spans="13:15" x14ac:dyDescent="0.25">
      <c r="M70" s="4" t="s">
        <v>126</v>
      </c>
      <c r="N70" s="4" t="s">
        <v>316</v>
      </c>
      <c r="O70" s="4" t="s">
        <v>3</v>
      </c>
    </row>
    <row r="71" spans="13:15" x14ac:dyDescent="0.25">
      <c r="M71" s="4" t="s">
        <v>127</v>
      </c>
      <c r="N71" s="4" t="s">
        <v>317</v>
      </c>
      <c r="O71" s="4" t="s">
        <v>39</v>
      </c>
    </row>
    <row r="72" spans="13:15" x14ac:dyDescent="0.25">
      <c r="M72" s="4" t="s">
        <v>128</v>
      </c>
      <c r="N72" s="4" t="s">
        <v>318</v>
      </c>
      <c r="O72" s="4" t="s">
        <v>41</v>
      </c>
    </row>
    <row r="73" spans="13:15" x14ac:dyDescent="0.25">
      <c r="M73" s="4" t="s">
        <v>129</v>
      </c>
      <c r="N73" s="4" t="s">
        <v>319</v>
      </c>
      <c r="O73" s="4" t="s">
        <v>36</v>
      </c>
    </row>
    <row r="74" spans="13:15" x14ac:dyDescent="0.25">
      <c r="M74" s="4" t="s">
        <v>130</v>
      </c>
      <c r="N74" s="4" t="s">
        <v>320</v>
      </c>
      <c r="O74" s="4" t="s">
        <v>39</v>
      </c>
    </row>
    <row r="75" spans="13:15" x14ac:dyDescent="0.25">
      <c r="M75" s="4" t="s">
        <v>131</v>
      </c>
      <c r="N75" s="4" t="s">
        <v>321</v>
      </c>
      <c r="O75" s="4" t="s">
        <v>39</v>
      </c>
    </row>
    <row r="76" spans="13:15" x14ac:dyDescent="0.25">
      <c r="M76" s="4" t="s">
        <v>132</v>
      </c>
      <c r="N76" s="4" t="s">
        <v>322</v>
      </c>
      <c r="O76" s="4" t="s">
        <v>36</v>
      </c>
    </row>
    <row r="77" spans="13:15" x14ac:dyDescent="0.25">
      <c r="M77" s="4" t="s">
        <v>133</v>
      </c>
      <c r="N77" s="4" t="s">
        <v>323</v>
      </c>
      <c r="O77" s="4" t="s">
        <v>36</v>
      </c>
    </row>
    <row r="78" spans="13:15" x14ac:dyDescent="0.25">
      <c r="M78" s="4" t="s">
        <v>134</v>
      </c>
      <c r="N78" s="4" t="s">
        <v>324</v>
      </c>
      <c r="O78" s="4" t="s">
        <v>39</v>
      </c>
    </row>
    <row r="79" spans="13:15" x14ac:dyDescent="0.25">
      <c r="M79" s="4" t="s">
        <v>135</v>
      </c>
      <c r="N79" s="4" t="s">
        <v>325</v>
      </c>
      <c r="O79" s="4" t="s">
        <v>3</v>
      </c>
    </row>
    <row r="80" spans="13:15" x14ac:dyDescent="0.25">
      <c r="M80" s="4" t="s">
        <v>136</v>
      </c>
      <c r="N80" s="4" t="s">
        <v>326</v>
      </c>
      <c r="O80" s="4" t="s">
        <v>39</v>
      </c>
    </row>
    <row r="81" spans="13:15" x14ac:dyDescent="0.25">
      <c r="M81" s="4" t="s">
        <v>137</v>
      </c>
      <c r="N81" s="4" t="s">
        <v>327</v>
      </c>
      <c r="O81" s="4" t="s">
        <v>3</v>
      </c>
    </row>
    <row r="82" spans="13:15" x14ac:dyDescent="0.25">
      <c r="M82" s="4" t="s">
        <v>138</v>
      </c>
      <c r="N82" s="4" t="s">
        <v>328</v>
      </c>
      <c r="O82" s="4" t="s">
        <v>36</v>
      </c>
    </row>
    <row r="83" spans="13:15" x14ac:dyDescent="0.25">
      <c r="M83" s="4" t="s">
        <v>139</v>
      </c>
      <c r="N83" s="4" t="s">
        <v>329</v>
      </c>
      <c r="O83" s="4" t="s">
        <v>36</v>
      </c>
    </row>
    <row r="84" spans="13:15" x14ac:dyDescent="0.25">
      <c r="M84" s="4" t="s">
        <v>140</v>
      </c>
      <c r="N84" s="4" t="s">
        <v>330</v>
      </c>
      <c r="O84" s="4" t="s">
        <v>36</v>
      </c>
    </row>
    <row r="85" spans="13:15" x14ac:dyDescent="0.25">
      <c r="M85" s="4" t="s">
        <v>141</v>
      </c>
      <c r="N85" s="4" t="s">
        <v>331</v>
      </c>
      <c r="O85" s="4" t="s">
        <v>3</v>
      </c>
    </row>
    <row r="86" spans="13:15" x14ac:dyDescent="0.25">
      <c r="M86" s="4" t="s">
        <v>142</v>
      </c>
      <c r="N86" s="4" t="s">
        <v>332</v>
      </c>
      <c r="O86" s="4" t="s">
        <v>36</v>
      </c>
    </row>
    <row r="87" spans="13:15" x14ac:dyDescent="0.25">
      <c r="M87" s="4" t="s">
        <v>143</v>
      </c>
      <c r="N87" s="4" t="s">
        <v>333</v>
      </c>
      <c r="O87" s="4" t="s">
        <v>39</v>
      </c>
    </row>
    <row r="88" spans="13:15" x14ac:dyDescent="0.25">
      <c r="M88" s="4" t="s">
        <v>144</v>
      </c>
      <c r="N88" s="4" t="s">
        <v>334</v>
      </c>
      <c r="O88" s="4" t="s">
        <v>3</v>
      </c>
    </row>
    <row r="89" spans="13:15" x14ac:dyDescent="0.25">
      <c r="M89" s="4" t="s">
        <v>145</v>
      </c>
      <c r="N89" s="4" t="s">
        <v>335</v>
      </c>
      <c r="O89" s="4" t="s">
        <v>39</v>
      </c>
    </row>
    <row r="90" spans="13:15" x14ac:dyDescent="0.25">
      <c r="M90" s="4" t="s">
        <v>146</v>
      </c>
      <c r="N90" s="4" t="s">
        <v>336</v>
      </c>
      <c r="O90" s="4" t="s">
        <v>39</v>
      </c>
    </row>
    <row r="91" spans="13:15" x14ac:dyDescent="0.25">
      <c r="M91" s="4" t="s">
        <v>147</v>
      </c>
      <c r="N91" s="4" t="s">
        <v>337</v>
      </c>
      <c r="O91" s="4" t="s">
        <v>36</v>
      </c>
    </row>
    <row r="92" spans="13:15" x14ac:dyDescent="0.25">
      <c r="M92" s="4" t="s">
        <v>148</v>
      </c>
      <c r="N92" s="4" t="s">
        <v>338</v>
      </c>
      <c r="O92" s="4" t="s">
        <v>39</v>
      </c>
    </row>
    <row r="93" spans="13:15" x14ac:dyDescent="0.25">
      <c r="M93" s="4" t="s">
        <v>149</v>
      </c>
      <c r="N93" s="4" t="s">
        <v>339</v>
      </c>
      <c r="O93" s="4" t="s">
        <v>39</v>
      </c>
    </row>
    <row r="94" spans="13:15" x14ac:dyDescent="0.25">
      <c r="M94" s="4" t="s">
        <v>150</v>
      </c>
      <c r="N94" s="4" t="s">
        <v>340</v>
      </c>
      <c r="O94" s="4" t="s">
        <v>36</v>
      </c>
    </row>
    <row r="95" spans="13:15" x14ac:dyDescent="0.25">
      <c r="M95" s="4" t="s">
        <v>151</v>
      </c>
      <c r="N95" s="4" t="s">
        <v>341</v>
      </c>
      <c r="O95" s="4" t="s">
        <v>39</v>
      </c>
    </row>
    <row r="96" spans="13:15" x14ac:dyDescent="0.25">
      <c r="M96" s="4" t="s">
        <v>152</v>
      </c>
      <c r="N96" s="4" t="s">
        <v>342</v>
      </c>
      <c r="O96" s="4" t="s">
        <v>39</v>
      </c>
    </row>
    <row r="97" spans="13:15" x14ac:dyDescent="0.25">
      <c r="M97" s="4" t="s">
        <v>153</v>
      </c>
      <c r="N97" s="4" t="s">
        <v>343</v>
      </c>
      <c r="O97" s="4" t="s">
        <v>41</v>
      </c>
    </row>
    <row r="98" spans="13:15" x14ac:dyDescent="0.25">
      <c r="M98" s="4" t="s">
        <v>154</v>
      </c>
      <c r="N98" s="4" t="s">
        <v>344</v>
      </c>
      <c r="O98" s="4" t="s">
        <v>3</v>
      </c>
    </row>
    <row r="99" spans="13:15" x14ac:dyDescent="0.25">
      <c r="M99" s="4" t="s">
        <v>155</v>
      </c>
      <c r="N99" s="4" t="s">
        <v>345</v>
      </c>
      <c r="O99" s="4" t="s">
        <v>36</v>
      </c>
    </row>
    <row r="100" spans="13:15" x14ac:dyDescent="0.25">
      <c r="M100" s="4" t="s">
        <v>156</v>
      </c>
      <c r="N100" s="4" t="s">
        <v>346</v>
      </c>
      <c r="O100" s="4" t="s">
        <v>36</v>
      </c>
    </row>
    <row r="101" spans="13:15" x14ac:dyDescent="0.25">
      <c r="M101" s="4" t="s">
        <v>157</v>
      </c>
      <c r="N101" s="4" t="s">
        <v>347</v>
      </c>
      <c r="O101" s="4" t="s">
        <v>3</v>
      </c>
    </row>
    <row r="102" spans="13:15" x14ac:dyDescent="0.25">
      <c r="M102" s="4" t="s">
        <v>158</v>
      </c>
      <c r="N102" s="4" t="s">
        <v>348</v>
      </c>
      <c r="O102" s="4" t="s">
        <v>41</v>
      </c>
    </row>
    <row r="103" spans="13:15" x14ac:dyDescent="0.25">
      <c r="M103" s="4" t="s">
        <v>159</v>
      </c>
      <c r="N103" s="4" t="s">
        <v>349</v>
      </c>
      <c r="O103" s="4" t="s">
        <v>41</v>
      </c>
    </row>
    <row r="104" spans="13:15" x14ac:dyDescent="0.25">
      <c r="M104" s="4" t="s">
        <v>160</v>
      </c>
      <c r="N104" s="4" t="s">
        <v>350</v>
      </c>
      <c r="O104" s="4" t="s">
        <v>3</v>
      </c>
    </row>
    <row r="105" spans="13:15" x14ac:dyDescent="0.25">
      <c r="M105" s="4" t="s">
        <v>161</v>
      </c>
      <c r="N105" s="4" t="s">
        <v>351</v>
      </c>
      <c r="O105" s="4" t="s">
        <v>3</v>
      </c>
    </row>
    <row r="106" spans="13:15" x14ac:dyDescent="0.25">
      <c r="M106" s="4" t="s">
        <v>162</v>
      </c>
      <c r="N106" s="4" t="s">
        <v>352</v>
      </c>
      <c r="O106" s="4" t="s">
        <v>41</v>
      </c>
    </row>
    <row r="107" spans="13:15" x14ac:dyDescent="0.25">
      <c r="M107" s="4" t="s">
        <v>163</v>
      </c>
      <c r="N107" s="4" t="s">
        <v>353</v>
      </c>
      <c r="O107" s="4" t="s">
        <v>36</v>
      </c>
    </row>
    <row r="108" spans="13:15" x14ac:dyDescent="0.25">
      <c r="M108" s="4" t="s">
        <v>164</v>
      </c>
      <c r="N108" s="4" t="s">
        <v>354</v>
      </c>
      <c r="O108" s="4" t="s">
        <v>39</v>
      </c>
    </row>
    <row r="109" spans="13:15" x14ac:dyDescent="0.25">
      <c r="M109" s="4" t="s">
        <v>165</v>
      </c>
      <c r="N109" s="4" t="s">
        <v>355</v>
      </c>
      <c r="O109" s="4" t="s">
        <v>3</v>
      </c>
    </row>
    <row r="110" spans="13:15" x14ac:dyDescent="0.25">
      <c r="M110" s="4" t="s">
        <v>166</v>
      </c>
      <c r="N110" s="4" t="s">
        <v>356</v>
      </c>
      <c r="O110" s="4" t="s">
        <v>3</v>
      </c>
    </row>
    <row r="111" spans="13:15" x14ac:dyDescent="0.25">
      <c r="M111" s="4" t="s">
        <v>167</v>
      </c>
      <c r="N111" s="4" t="s">
        <v>357</v>
      </c>
      <c r="O111" s="4" t="s">
        <v>39</v>
      </c>
    </row>
    <row r="112" spans="13:15" x14ac:dyDescent="0.25">
      <c r="M112" s="4" t="s">
        <v>168</v>
      </c>
      <c r="N112" s="4" t="s">
        <v>358</v>
      </c>
      <c r="O112" s="4" t="s">
        <v>3</v>
      </c>
    </row>
    <row r="113" spans="13:15" x14ac:dyDescent="0.25">
      <c r="M113" s="4" t="s">
        <v>169</v>
      </c>
      <c r="N113" s="4" t="s">
        <v>359</v>
      </c>
      <c r="O113" s="4" t="s">
        <v>39</v>
      </c>
    </row>
    <row r="114" spans="13:15" x14ac:dyDescent="0.25">
      <c r="M114" s="4" t="s">
        <v>170</v>
      </c>
      <c r="N114" s="4" t="s">
        <v>360</v>
      </c>
      <c r="O114" s="4" t="s">
        <v>3</v>
      </c>
    </row>
    <row r="115" spans="13:15" x14ac:dyDescent="0.25">
      <c r="M115" s="4" t="s">
        <v>171</v>
      </c>
      <c r="N115" s="4" t="s">
        <v>361</v>
      </c>
      <c r="O115" s="4" t="s">
        <v>39</v>
      </c>
    </row>
    <row r="116" spans="13:15" x14ac:dyDescent="0.25">
      <c r="M116" s="4" t="s">
        <v>172</v>
      </c>
      <c r="N116" s="4" t="s">
        <v>362</v>
      </c>
      <c r="O116" s="4" t="s">
        <v>41</v>
      </c>
    </row>
    <row r="117" spans="13:15" x14ac:dyDescent="0.25">
      <c r="M117" s="4" t="s">
        <v>173</v>
      </c>
      <c r="N117" s="4" t="s">
        <v>363</v>
      </c>
      <c r="O117" s="4" t="s">
        <v>39</v>
      </c>
    </row>
    <row r="118" spans="13:15" x14ac:dyDescent="0.25">
      <c r="M118" s="4" t="s">
        <v>174</v>
      </c>
      <c r="N118" s="4" t="s">
        <v>364</v>
      </c>
      <c r="O118" s="4" t="s">
        <v>3</v>
      </c>
    </row>
    <row r="119" spans="13:15" x14ac:dyDescent="0.25">
      <c r="M119" s="4" t="s">
        <v>175</v>
      </c>
      <c r="N119" s="4" t="s">
        <v>365</v>
      </c>
      <c r="O119" s="4" t="s">
        <v>39</v>
      </c>
    </row>
    <row r="120" spans="13:15" x14ac:dyDescent="0.25">
      <c r="M120" s="4" t="s">
        <v>176</v>
      </c>
      <c r="N120" s="4" t="s">
        <v>366</v>
      </c>
      <c r="O120" s="4" t="s">
        <v>36</v>
      </c>
    </row>
    <row r="121" spans="13:15" x14ac:dyDescent="0.25">
      <c r="M121" s="4" t="s">
        <v>177</v>
      </c>
      <c r="N121" s="4" t="s">
        <v>367</v>
      </c>
      <c r="O121" s="4" t="s">
        <v>36</v>
      </c>
    </row>
    <row r="122" spans="13:15" x14ac:dyDescent="0.25">
      <c r="M122" s="4" t="s">
        <v>178</v>
      </c>
      <c r="N122" s="4" t="s">
        <v>368</v>
      </c>
      <c r="O122" s="4" t="s">
        <v>39</v>
      </c>
    </row>
    <row r="123" spans="13:15" x14ac:dyDescent="0.25">
      <c r="M123" s="4" t="s">
        <v>179</v>
      </c>
      <c r="N123" s="4" t="s">
        <v>369</v>
      </c>
      <c r="O123" s="4" t="s">
        <v>41</v>
      </c>
    </row>
    <row r="124" spans="13:15" x14ac:dyDescent="0.25">
      <c r="M124" s="4" t="s">
        <v>180</v>
      </c>
      <c r="N124" s="4" t="s">
        <v>370</v>
      </c>
      <c r="O124" s="4" t="s">
        <v>39</v>
      </c>
    </row>
    <row r="125" spans="13:15" x14ac:dyDescent="0.25">
      <c r="M125" s="4" t="s">
        <v>181</v>
      </c>
      <c r="N125" s="4" t="s">
        <v>371</v>
      </c>
      <c r="O125" s="4" t="s">
        <v>41</v>
      </c>
    </row>
    <row r="126" spans="13:15" x14ac:dyDescent="0.25">
      <c r="M126" s="4" t="s">
        <v>182</v>
      </c>
      <c r="N126" s="4" t="s">
        <v>372</v>
      </c>
      <c r="O126" s="4" t="s">
        <v>36</v>
      </c>
    </row>
    <row r="127" spans="13:15" x14ac:dyDescent="0.25">
      <c r="M127" s="4" t="s">
        <v>183</v>
      </c>
      <c r="N127" s="4" t="s">
        <v>373</v>
      </c>
      <c r="O127" s="4" t="s">
        <v>36</v>
      </c>
    </row>
    <row r="128" spans="13:15" x14ac:dyDescent="0.25">
      <c r="M128" s="4" t="s">
        <v>184</v>
      </c>
      <c r="N128" s="4" t="s">
        <v>374</v>
      </c>
      <c r="O128" s="4" t="s">
        <v>39</v>
      </c>
    </row>
    <row r="129" spans="13:15" x14ac:dyDescent="0.25">
      <c r="M129" s="4" t="s">
        <v>185</v>
      </c>
      <c r="N129" s="4" t="s">
        <v>375</v>
      </c>
      <c r="O129" s="4" t="s">
        <v>3</v>
      </c>
    </row>
    <row r="130" spans="13:15" x14ac:dyDescent="0.25">
      <c r="M130" s="4" t="s">
        <v>186</v>
      </c>
      <c r="N130" s="4" t="s">
        <v>376</v>
      </c>
      <c r="O130" s="4" t="s">
        <v>36</v>
      </c>
    </row>
    <row r="131" spans="13:15" x14ac:dyDescent="0.25">
      <c r="M131" s="4" t="s">
        <v>187</v>
      </c>
      <c r="N131" s="4" t="s">
        <v>377</v>
      </c>
      <c r="O131" s="4" t="s">
        <v>39</v>
      </c>
    </row>
    <row r="132" spans="13:15" x14ac:dyDescent="0.25">
      <c r="M132" s="4" t="s">
        <v>188</v>
      </c>
      <c r="N132" s="4" t="s">
        <v>378</v>
      </c>
      <c r="O132" s="4" t="s">
        <v>3</v>
      </c>
    </row>
    <row r="133" spans="13:15" x14ac:dyDescent="0.25">
      <c r="M133" s="4" t="s">
        <v>189</v>
      </c>
      <c r="N133" s="4" t="s">
        <v>379</v>
      </c>
      <c r="O133" s="4" t="s">
        <v>3</v>
      </c>
    </row>
    <row r="134" spans="13:15" x14ac:dyDescent="0.25">
      <c r="M134" s="4" t="s">
        <v>190</v>
      </c>
      <c r="N134" s="4" t="s">
        <v>380</v>
      </c>
      <c r="O134" s="4" t="s">
        <v>39</v>
      </c>
    </row>
    <row r="135" spans="13:15" x14ac:dyDescent="0.25">
      <c r="M135" s="4" t="s">
        <v>191</v>
      </c>
      <c r="N135" s="4" t="s">
        <v>381</v>
      </c>
      <c r="O135" s="4" t="s">
        <v>36</v>
      </c>
    </row>
    <row r="136" spans="13:15" x14ac:dyDescent="0.25">
      <c r="M136" s="4" t="s">
        <v>192</v>
      </c>
      <c r="N136" s="4" t="s">
        <v>382</v>
      </c>
      <c r="O136" s="4" t="s">
        <v>36</v>
      </c>
    </row>
    <row r="137" spans="13:15" x14ac:dyDescent="0.25">
      <c r="M137" s="4" t="s">
        <v>193</v>
      </c>
      <c r="N137" s="4" t="s">
        <v>383</v>
      </c>
      <c r="O137" s="4" t="s">
        <v>36</v>
      </c>
    </row>
    <row r="138" spans="13:15" x14ac:dyDescent="0.25">
      <c r="M138" s="4" t="s">
        <v>194</v>
      </c>
      <c r="N138" s="4" t="s">
        <v>384</v>
      </c>
      <c r="O138" s="4" t="s">
        <v>36</v>
      </c>
    </row>
    <row r="139" spans="13:15" x14ac:dyDescent="0.25">
      <c r="M139" s="4" t="s">
        <v>195</v>
      </c>
      <c r="N139" s="4" t="s">
        <v>385</v>
      </c>
      <c r="O139" s="4" t="s">
        <v>36</v>
      </c>
    </row>
    <row r="140" spans="13:15" x14ac:dyDescent="0.25">
      <c r="M140" s="4" t="s">
        <v>196</v>
      </c>
      <c r="N140" s="4" t="s">
        <v>386</v>
      </c>
      <c r="O140" s="4" t="s">
        <v>3</v>
      </c>
    </row>
    <row r="141" spans="13:15" x14ac:dyDescent="0.25">
      <c r="M141" s="4" t="s">
        <v>197</v>
      </c>
      <c r="N141" s="4" t="s">
        <v>387</v>
      </c>
      <c r="O141" s="4" t="s">
        <v>41</v>
      </c>
    </row>
    <row r="142" spans="13:15" x14ac:dyDescent="0.25">
      <c r="M142" s="4" t="s">
        <v>198</v>
      </c>
      <c r="N142" s="4" t="s">
        <v>388</v>
      </c>
      <c r="O142" s="4" t="s">
        <v>3</v>
      </c>
    </row>
    <row r="143" spans="13:15" x14ac:dyDescent="0.25">
      <c r="M143" s="4" t="s">
        <v>199</v>
      </c>
      <c r="N143" s="4" t="s">
        <v>389</v>
      </c>
      <c r="O143" s="4" t="s">
        <v>3</v>
      </c>
    </row>
    <row r="144" spans="13:15" x14ac:dyDescent="0.25">
      <c r="M144" s="4" t="s">
        <v>200</v>
      </c>
      <c r="N144" s="4" t="s">
        <v>390</v>
      </c>
      <c r="O144" s="4" t="s">
        <v>36</v>
      </c>
    </row>
    <row r="145" spans="13:15" x14ac:dyDescent="0.25">
      <c r="M145" s="4" t="s">
        <v>200</v>
      </c>
      <c r="N145" s="4" t="s">
        <v>391</v>
      </c>
      <c r="O145" s="4" t="s">
        <v>39</v>
      </c>
    </row>
    <row r="146" spans="13:15" x14ac:dyDescent="0.25">
      <c r="M146" s="4" t="s">
        <v>201</v>
      </c>
      <c r="N146" s="4" t="s">
        <v>392</v>
      </c>
      <c r="O146" s="4" t="s">
        <v>39</v>
      </c>
    </row>
    <row r="147" spans="13:15" x14ac:dyDescent="0.25">
      <c r="M147" s="4" t="s">
        <v>202</v>
      </c>
      <c r="N147" s="4" t="s">
        <v>393</v>
      </c>
      <c r="O147" s="4" t="s">
        <v>36</v>
      </c>
    </row>
    <row r="148" spans="13:15" x14ac:dyDescent="0.25">
      <c r="M148" s="4" t="s">
        <v>203</v>
      </c>
      <c r="N148" s="4" t="s">
        <v>394</v>
      </c>
      <c r="O148" s="4" t="s">
        <v>39</v>
      </c>
    </row>
    <row r="149" spans="13:15" x14ac:dyDescent="0.25">
      <c r="M149" s="4" t="s">
        <v>204</v>
      </c>
      <c r="N149" s="4" t="s">
        <v>395</v>
      </c>
      <c r="O149" s="4" t="s">
        <v>3</v>
      </c>
    </row>
    <row r="150" spans="13:15" x14ac:dyDescent="0.25">
      <c r="M150" s="4" t="s">
        <v>205</v>
      </c>
      <c r="N150" s="4" t="s">
        <v>396</v>
      </c>
      <c r="O150" s="4" t="s">
        <v>36</v>
      </c>
    </row>
    <row r="151" spans="13:15" x14ac:dyDescent="0.25">
      <c r="M151" s="4" t="s">
        <v>206</v>
      </c>
      <c r="N151" s="4" t="s">
        <v>397</v>
      </c>
      <c r="O151" s="4" t="s">
        <v>41</v>
      </c>
    </row>
    <row r="152" spans="13:15" x14ac:dyDescent="0.25">
      <c r="M152" s="4" t="s">
        <v>207</v>
      </c>
      <c r="N152" s="4" t="s">
        <v>398</v>
      </c>
      <c r="O152" s="4" t="s">
        <v>36</v>
      </c>
    </row>
    <row r="153" spans="13:15" x14ac:dyDescent="0.25">
      <c r="M153" s="4" t="s">
        <v>208</v>
      </c>
      <c r="N153" s="4" t="s">
        <v>399</v>
      </c>
      <c r="O153" s="4" t="s">
        <v>36</v>
      </c>
    </row>
    <row r="154" spans="13:15" x14ac:dyDescent="0.25">
      <c r="M154" s="4" t="s">
        <v>209</v>
      </c>
      <c r="N154" s="4" t="s">
        <v>400</v>
      </c>
      <c r="O154" s="4" t="s">
        <v>36</v>
      </c>
    </row>
    <row r="155" spans="13:15" x14ac:dyDescent="0.25">
      <c r="M155" s="4" t="s">
        <v>210</v>
      </c>
      <c r="N155" s="4" t="s">
        <v>401</v>
      </c>
      <c r="O155" s="4" t="s">
        <v>39</v>
      </c>
    </row>
    <row r="156" spans="13:15" x14ac:dyDescent="0.25">
      <c r="M156" s="4" t="s">
        <v>211</v>
      </c>
      <c r="N156" s="4" t="s">
        <v>402</v>
      </c>
      <c r="O156" s="4" t="s">
        <v>41</v>
      </c>
    </row>
    <row r="157" spans="13:15" x14ac:dyDescent="0.25">
      <c r="M157" s="4" t="s">
        <v>212</v>
      </c>
      <c r="N157" s="4" t="s">
        <v>403</v>
      </c>
      <c r="O157" s="4" t="s">
        <v>3</v>
      </c>
    </row>
    <row r="158" spans="13:15" x14ac:dyDescent="0.25">
      <c r="M158" s="4" t="s">
        <v>213</v>
      </c>
      <c r="N158" s="4" t="s">
        <v>404</v>
      </c>
      <c r="O158" s="4" t="s">
        <v>36</v>
      </c>
    </row>
    <row r="159" spans="13:15" x14ac:dyDescent="0.25">
      <c r="M159" s="4" t="s">
        <v>214</v>
      </c>
      <c r="N159" s="4" t="s">
        <v>405</v>
      </c>
      <c r="O159" s="4" t="s">
        <v>41</v>
      </c>
    </row>
    <row r="160" spans="13:15" x14ac:dyDescent="0.25">
      <c r="M160" s="4" t="s">
        <v>215</v>
      </c>
      <c r="N160" s="4" t="s">
        <v>406</v>
      </c>
      <c r="O160" s="4" t="s">
        <v>36</v>
      </c>
    </row>
    <row r="161" spans="13:15" x14ac:dyDescent="0.25">
      <c r="M161" s="4" t="s">
        <v>216</v>
      </c>
      <c r="N161" s="4" t="s">
        <v>407</v>
      </c>
      <c r="O161" s="4" t="s">
        <v>39</v>
      </c>
    </row>
    <row r="162" spans="13:15" x14ac:dyDescent="0.25">
      <c r="M162" s="4" t="s">
        <v>217</v>
      </c>
      <c r="N162" s="4" t="s">
        <v>408</v>
      </c>
      <c r="O162" s="4" t="s">
        <v>41</v>
      </c>
    </row>
    <row r="163" spans="13:15" x14ac:dyDescent="0.25">
      <c r="M163" s="4" t="s">
        <v>218</v>
      </c>
      <c r="N163" s="4" t="s">
        <v>409</v>
      </c>
      <c r="O163" s="4" t="s">
        <v>3</v>
      </c>
    </row>
    <row r="164" spans="13:15" x14ac:dyDescent="0.25">
      <c r="M164" s="4" t="s">
        <v>219</v>
      </c>
      <c r="N164" s="4" t="s">
        <v>410</v>
      </c>
      <c r="O164" s="4" t="s">
        <v>36</v>
      </c>
    </row>
    <row r="165" spans="13:15" x14ac:dyDescent="0.25">
      <c r="M165" s="4" t="s">
        <v>220</v>
      </c>
      <c r="N165" s="4" t="s">
        <v>411</v>
      </c>
      <c r="O165" s="4" t="s">
        <v>36</v>
      </c>
    </row>
    <row r="166" spans="13:15" x14ac:dyDescent="0.25">
      <c r="M166" s="4" t="s">
        <v>221</v>
      </c>
      <c r="N166" s="4" t="s">
        <v>412</v>
      </c>
      <c r="O166" s="4" t="s">
        <v>41</v>
      </c>
    </row>
    <row r="167" spans="13:15" x14ac:dyDescent="0.25">
      <c r="M167" s="4" t="s">
        <v>222</v>
      </c>
      <c r="N167" s="4" t="s">
        <v>413</v>
      </c>
      <c r="O167" s="4" t="s">
        <v>39</v>
      </c>
    </row>
    <row r="168" spans="13:15" x14ac:dyDescent="0.25">
      <c r="M168" s="4" t="s">
        <v>223</v>
      </c>
      <c r="N168" s="4" t="s">
        <v>414</v>
      </c>
      <c r="O168" s="4" t="s">
        <v>39</v>
      </c>
    </row>
    <row r="169" spans="13:15" x14ac:dyDescent="0.25">
      <c r="M169" s="4" t="s">
        <v>224</v>
      </c>
      <c r="N169" s="4" t="s">
        <v>415</v>
      </c>
      <c r="O169" s="4" t="s">
        <v>3</v>
      </c>
    </row>
    <row r="170" spans="13:15" x14ac:dyDescent="0.25">
      <c r="M170" s="4" t="s">
        <v>225</v>
      </c>
      <c r="N170" s="4" t="s">
        <v>416</v>
      </c>
      <c r="O170" s="4" t="s">
        <v>39</v>
      </c>
    </row>
    <row r="171" spans="13:15" x14ac:dyDescent="0.25">
      <c r="M171" s="4" t="s">
        <v>226</v>
      </c>
      <c r="N171" s="4" t="s">
        <v>417</v>
      </c>
      <c r="O171" s="4" t="s">
        <v>41</v>
      </c>
    </row>
    <row r="172" spans="13:15" x14ac:dyDescent="0.25">
      <c r="M172" s="4" t="s">
        <v>227</v>
      </c>
      <c r="N172" s="4" t="s">
        <v>418</v>
      </c>
      <c r="O172" s="4" t="s">
        <v>3</v>
      </c>
    </row>
    <row r="173" spans="13:15" x14ac:dyDescent="0.25">
      <c r="M173" s="4" t="s">
        <v>228</v>
      </c>
      <c r="N173" s="4" t="s">
        <v>419</v>
      </c>
      <c r="O173" s="4" t="s">
        <v>36</v>
      </c>
    </row>
    <row r="174" spans="13:15" x14ac:dyDescent="0.25">
      <c r="M174" s="4" t="s">
        <v>229</v>
      </c>
      <c r="N174" s="4" t="s">
        <v>420</v>
      </c>
      <c r="O174" s="4" t="s">
        <v>39</v>
      </c>
    </row>
    <row r="175" spans="13:15" x14ac:dyDescent="0.25">
      <c r="M175" s="4" t="s">
        <v>230</v>
      </c>
      <c r="N175" s="4" t="s">
        <v>421</v>
      </c>
      <c r="O175" s="4" t="s">
        <v>3</v>
      </c>
    </row>
    <row r="176" spans="13:15" x14ac:dyDescent="0.25">
      <c r="M176" s="4" t="s">
        <v>231</v>
      </c>
      <c r="N176" s="4" t="s">
        <v>422</v>
      </c>
      <c r="O176" s="4" t="s">
        <v>3</v>
      </c>
    </row>
    <row r="177" spans="13:15" x14ac:dyDescent="0.25">
      <c r="M177" s="4" t="s">
        <v>232</v>
      </c>
      <c r="N177" s="4" t="s">
        <v>423</v>
      </c>
      <c r="O177" s="4" t="s">
        <v>41</v>
      </c>
    </row>
    <row r="178" spans="13:15" x14ac:dyDescent="0.25">
      <c r="M178" s="4" t="s">
        <v>233</v>
      </c>
      <c r="N178" s="4" t="s">
        <v>424</v>
      </c>
      <c r="O178" s="4" t="s">
        <v>39</v>
      </c>
    </row>
    <row r="179" spans="13:15" x14ac:dyDescent="0.25">
      <c r="M179" s="4" t="s">
        <v>234</v>
      </c>
      <c r="N179" s="4" t="s">
        <v>425</v>
      </c>
      <c r="O179" s="4" t="s">
        <v>36</v>
      </c>
    </row>
    <row r="180" spans="13:15" x14ac:dyDescent="0.25">
      <c r="M180" s="4" t="s">
        <v>235</v>
      </c>
      <c r="N180" s="4" t="s">
        <v>426</v>
      </c>
      <c r="O180" s="4" t="s">
        <v>36</v>
      </c>
    </row>
    <row r="181" spans="13:15" x14ac:dyDescent="0.25">
      <c r="M181" s="4" t="s">
        <v>236</v>
      </c>
      <c r="N181" s="4" t="s">
        <v>427</v>
      </c>
      <c r="O181" s="4" t="s">
        <v>36</v>
      </c>
    </row>
    <row r="182" spans="13:15" x14ac:dyDescent="0.25">
      <c r="M182" s="4" t="s">
        <v>237</v>
      </c>
      <c r="N182" s="4" t="s">
        <v>428</v>
      </c>
      <c r="O182" s="4" t="s">
        <v>36</v>
      </c>
    </row>
    <row r="183" spans="13:15" x14ac:dyDescent="0.25">
      <c r="M183" s="4" t="s">
        <v>238</v>
      </c>
      <c r="N183" s="4" t="s">
        <v>429</v>
      </c>
      <c r="O183" s="4" t="s">
        <v>39</v>
      </c>
    </row>
    <row r="184" spans="13:15" x14ac:dyDescent="0.25">
      <c r="M184" s="4" t="s">
        <v>239</v>
      </c>
      <c r="N184" s="4" t="s">
        <v>430</v>
      </c>
      <c r="O184" s="4" t="s">
        <v>39</v>
      </c>
    </row>
    <row r="185" spans="13:15" x14ac:dyDescent="0.25">
      <c r="M185" s="4" t="s">
        <v>240</v>
      </c>
      <c r="N185" s="4" t="s">
        <v>431</v>
      </c>
      <c r="O185" s="4" t="e">
        <v>#N/A</v>
      </c>
    </row>
    <row r="186" spans="13:15" x14ac:dyDescent="0.25">
      <c r="M186" s="4" t="s">
        <v>241</v>
      </c>
      <c r="N186" s="4" t="s">
        <v>432</v>
      </c>
      <c r="O186" s="4" t="s">
        <v>39</v>
      </c>
    </row>
    <row r="187" spans="13:15" x14ac:dyDescent="0.25">
      <c r="M187" s="4" t="s">
        <v>242</v>
      </c>
      <c r="N187" s="4" t="s">
        <v>433</v>
      </c>
      <c r="O187" s="4" t="s">
        <v>36</v>
      </c>
    </row>
    <row r="188" spans="13:15" x14ac:dyDescent="0.25">
      <c r="M188" s="4" t="s">
        <v>243</v>
      </c>
      <c r="N188" s="4" t="s">
        <v>434</v>
      </c>
      <c r="O188" s="4" t="s">
        <v>41</v>
      </c>
    </row>
    <row r="189" spans="13:15" x14ac:dyDescent="0.25">
      <c r="M189" s="4" t="s">
        <v>244</v>
      </c>
      <c r="N189" s="4" t="s">
        <v>435</v>
      </c>
      <c r="O189" s="4" t="s">
        <v>39</v>
      </c>
    </row>
    <row r="190" spans="13:15" x14ac:dyDescent="0.25">
      <c r="M190" s="4" t="s">
        <v>245</v>
      </c>
      <c r="N190" s="4" t="s">
        <v>436</v>
      </c>
      <c r="O190" s="4" t="s">
        <v>39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E198-D135-4AF2-9D71-D6DD7D023CE2}">
  <dimension ref="A1:M65"/>
  <sheetViews>
    <sheetView zoomScale="120" zoomScaleNormal="120" workbookViewId="0">
      <pane ySplit="1" topLeftCell="A5" activePane="bottomLeft" state="frozen"/>
      <selection pane="bottomLeft" activeCell="C1" sqref="C1:C1048576"/>
    </sheetView>
  </sheetViews>
  <sheetFormatPr defaultRowHeight="15" x14ac:dyDescent="0.25"/>
  <cols>
    <col min="1" max="1" width="33" bestFit="1" customWidth="1" collapsed="1"/>
  </cols>
  <sheetData>
    <row r="1" spans="1:13" ht="15.75" thickBot="1" x14ac:dyDescent="0.3">
      <c r="A1" s="6" t="s">
        <v>4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  <c r="J1" s="6" t="s">
        <v>51</v>
      </c>
      <c r="K1" s="6" t="s">
        <v>52</v>
      </c>
      <c r="L1" s="6" t="s">
        <v>53</v>
      </c>
      <c r="M1" s="6" t="s">
        <v>54</v>
      </c>
    </row>
    <row r="2" spans="1:13" x14ac:dyDescent="0.25">
      <c r="A2" s="4" t="s">
        <v>12</v>
      </c>
      <c r="B2" s="4" t="s">
        <v>55</v>
      </c>
      <c r="C2" s="4" t="s">
        <v>36</v>
      </c>
      <c r="D2" s="4" t="s">
        <v>56</v>
      </c>
      <c r="E2" s="7">
        <v>0</v>
      </c>
      <c r="F2" s="7">
        <v>0.5</v>
      </c>
      <c r="G2" s="7">
        <f>F2*dropdown!G$4</f>
        <v>0.45</v>
      </c>
      <c r="H2" s="7">
        <f>G2*dropdown!G$5</f>
        <v>0.40500000000000003</v>
      </c>
      <c r="I2" s="7">
        <v>0</v>
      </c>
      <c r="J2" s="8">
        <v>1</v>
      </c>
      <c r="K2" s="8">
        <v>0</v>
      </c>
      <c r="L2" s="8">
        <v>0</v>
      </c>
      <c r="M2" s="7">
        <f>SUM(I2:L2)</f>
        <v>1</v>
      </c>
    </row>
    <row r="3" spans="1:13" x14ac:dyDescent="0.25">
      <c r="A3" s="4" t="s">
        <v>12</v>
      </c>
      <c r="B3" s="4" t="s">
        <v>55</v>
      </c>
      <c r="C3" s="4" t="s">
        <v>3</v>
      </c>
      <c r="D3" s="4" t="s">
        <v>56</v>
      </c>
      <c r="E3" s="7">
        <v>0</v>
      </c>
      <c r="F3" s="7">
        <v>0.4</v>
      </c>
      <c r="G3" s="7">
        <f>F3*dropdown!G$4</f>
        <v>0.36000000000000004</v>
      </c>
      <c r="H3" s="7">
        <f>G3*dropdown!G$5</f>
        <v>0.32400000000000007</v>
      </c>
      <c r="I3" s="7">
        <v>0</v>
      </c>
      <c r="J3" s="8">
        <v>1</v>
      </c>
      <c r="K3" s="8">
        <v>0</v>
      </c>
      <c r="L3" s="8">
        <v>0</v>
      </c>
      <c r="M3" s="7">
        <f t="shared" ref="M3:M5" si="0">SUM(I3:L3)</f>
        <v>1</v>
      </c>
    </row>
    <row r="4" spans="1:13" x14ac:dyDescent="0.25">
      <c r="A4" s="4" t="s">
        <v>12</v>
      </c>
      <c r="B4" s="4" t="s">
        <v>55</v>
      </c>
      <c r="C4" s="4" t="s">
        <v>39</v>
      </c>
      <c r="D4" s="4" t="s">
        <v>56</v>
      </c>
      <c r="E4" s="7">
        <v>0</v>
      </c>
      <c r="F4" s="7">
        <v>0.3</v>
      </c>
      <c r="G4" s="7">
        <f>F4*dropdown!G$4</f>
        <v>0.27</v>
      </c>
      <c r="H4" s="7">
        <f>G4*dropdown!G$5</f>
        <v>0.24300000000000002</v>
      </c>
      <c r="I4" s="7">
        <v>0</v>
      </c>
      <c r="J4" s="8">
        <v>1</v>
      </c>
      <c r="K4" s="8">
        <v>0</v>
      </c>
      <c r="L4" s="8">
        <v>0</v>
      </c>
      <c r="M4" s="7">
        <f t="shared" si="0"/>
        <v>1</v>
      </c>
    </row>
    <row r="5" spans="1:13" x14ac:dyDescent="0.25">
      <c r="A5" s="5" t="s">
        <v>12</v>
      </c>
      <c r="B5" s="5" t="s">
        <v>55</v>
      </c>
      <c r="C5" s="5" t="s">
        <v>41</v>
      </c>
      <c r="D5" s="5" t="s">
        <v>56</v>
      </c>
      <c r="E5" s="9">
        <v>0</v>
      </c>
      <c r="F5" s="9">
        <v>0.05</v>
      </c>
      <c r="G5" s="9">
        <f>F5*dropdown!G$4</f>
        <v>4.5000000000000005E-2</v>
      </c>
      <c r="H5" s="9">
        <f>G5*dropdown!G$5</f>
        <v>4.0500000000000008E-2</v>
      </c>
      <c r="I5" s="9">
        <v>0</v>
      </c>
      <c r="J5" s="10">
        <v>1</v>
      </c>
      <c r="K5" s="10">
        <v>0</v>
      </c>
      <c r="L5" s="10">
        <v>0</v>
      </c>
      <c r="M5" s="9">
        <f t="shared" si="0"/>
        <v>1</v>
      </c>
    </row>
    <row r="6" spans="1:13" x14ac:dyDescent="0.25">
      <c r="A6" s="4" t="s">
        <v>19</v>
      </c>
      <c r="B6" s="4" t="s">
        <v>55</v>
      </c>
      <c r="C6" s="4" t="s">
        <v>36</v>
      </c>
      <c r="D6" s="4" t="s">
        <v>56</v>
      </c>
      <c r="E6" s="7">
        <v>0.6</v>
      </c>
      <c r="F6" s="7">
        <f>E6*dropdown!G$3</f>
        <v>0.48</v>
      </c>
      <c r="G6" s="7">
        <f>F6*dropdown!G$4</f>
        <v>0.432</v>
      </c>
      <c r="H6" s="7">
        <f>G6*dropdown!G$5</f>
        <v>0.38879999999999998</v>
      </c>
      <c r="I6" s="11">
        <v>0</v>
      </c>
      <c r="J6" s="11">
        <v>0.55693380000000003</v>
      </c>
      <c r="K6" s="11">
        <v>0.24678629999999999</v>
      </c>
      <c r="L6" s="11">
        <v>0.1962798</v>
      </c>
      <c r="M6" s="13">
        <f>SUM(I6:L6)</f>
        <v>0.99999990000000005</v>
      </c>
    </row>
    <row r="7" spans="1:13" x14ac:dyDescent="0.25">
      <c r="A7" s="4" t="s">
        <v>19</v>
      </c>
      <c r="B7" s="4" t="s">
        <v>55</v>
      </c>
      <c r="C7" s="4" t="s">
        <v>3</v>
      </c>
      <c r="D7" s="4" t="s">
        <v>56</v>
      </c>
      <c r="E7" s="7">
        <v>0.3</v>
      </c>
      <c r="F7" s="7">
        <f>E7*dropdown!G$3</f>
        <v>0.24</v>
      </c>
      <c r="G7" s="7">
        <f>F7*dropdown!G$4</f>
        <v>0.216</v>
      </c>
      <c r="H7" s="7">
        <f>G7*dropdown!G$5</f>
        <v>0.19439999999999999</v>
      </c>
      <c r="I7" s="11">
        <v>0</v>
      </c>
      <c r="J7" s="11">
        <f>E7</f>
        <v>0.3</v>
      </c>
      <c r="K7" s="11">
        <v>0.4</v>
      </c>
      <c r="L7" s="11">
        <v>0.3</v>
      </c>
      <c r="M7" s="13">
        <f t="shared" ref="M7:M9" si="1">SUM(I7:L7)</f>
        <v>1</v>
      </c>
    </row>
    <row r="8" spans="1:13" x14ac:dyDescent="0.25">
      <c r="A8" s="4" t="s">
        <v>19</v>
      </c>
      <c r="B8" s="4" t="s">
        <v>55</v>
      </c>
      <c r="C8" s="4" t="s">
        <v>39</v>
      </c>
      <c r="D8" s="4" t="s">
        <v>56</v>
      </c>
      <c r="E8" s="7">
        <v>0.1</v>
      </c>
      <c r="F8" s="7">
        <f>E8*dropdown!G$3</f>
        <v>8.0000000000000016E-2</v>
      </c>
      <c r="G8" s="7">
        <f>F8*dropdown!G$4</f>
        <v>7.2000000000000022E-2</v>
      </c>
      <c r="H8" s="7">
        <f>G8*dropdown!G$5</f>
        <v>6.4800000000000024E-2</v>
      </c>
      <c r="I8" s="11">
        <v>0</v>
      </c>
      <c r="J8" s="11">
        <f>E8</f>
        <v>0.1</v>
      </c>
      <c r="K8" s="11">
        <v>0.5</v>
      </c>
      <c r="L8" s="11">
        <v>0.4</v>
      </c>
      <c r="M8" s="13">
        <f t="shared" si="1"/>
        <v>1</v>
      </c>
    </row>
    <row r="9" spans="1:13" x14ac:dyDescent="0.25">
      <c r="A9" s="5" t="s">
        <v>19</v>
      </c>
      <c r="B9" s="5" t="s">
        <v>55</v>
      </c>
      <c r="C9" s="5" t="s">
        <v>41</v>
      </c>
      <c r="D9" s="5" t="s">
        <v>56</v>
      </c>
      <c r="E9" s="9">
        <v>0.05</v>
      </c>
      <c r="F9" s="9">
        <f>E9*dropdown!G$3</f>
        <v>4.0000000000000008E-2</v>
      </c>
      <c r="G9" s="9">
        <f>F9*dropdown!G$4</f>
        <v>3.6000000000000011E-2</v>
      </c>
      <c r="H9" s="9">
        <f>G9*dropdown!G$5</f>
        <v>3.2400000000000012E-2</v>
      </c>
      <c r="I9" s="12">
        <v>0</v>
      </c>
      <c r="J9" s="12">
        <f>E9</f>
        <v>0.05</v>
      </c>
      <c r="K9" s="12">
        <v>0.35</v>
      </c>
      <c r="L9" s="12">
        <v>0.6</v>
      </c>
      <c r="M9" s="14">
        <f t="shared" si="1"/>
        <v>1</v>
      </c>
    </row>
    <row r="10" spans="1:13" x14ac:dyDescent="0.25">
      <c r="A10" s="4" t="s">
        <v>20</v>
      </c>
      <c r="B10" s="4" t="s">
        <v>55</v>
      </c>
      <c r="C10" s="4" t="s">
        <v>36</v>
      </c>
      <c r="D10" s="4" t="s">
        <v>56</v>
      </c>
      <c r="E10" s="7">
        <v>0.77</v>
      </c>
      <c r="F10" s="7">
        <f>E10*dropdown!G$4</f>
        <v>0.69300000000000006</v>
      </c>
      <c r="G10" s="7">
        <f>F10*dropdown!G$4</f>
        <v>0.62370000000000003</v>
      </c>
      <c r="H10" s="7">
        <f>G10*dropdown!G$5</f>
        <v>0.56133</v>
      </c>
      <c r="I10" s="7">
        <v>0.9</v>
      </c>
      <c r="J10" s="11">
        <f xml:space="preserve"> 49.50869% * (1-$I10)</f>
        <v>4.9508689999999987E-2</v>
      </c>
      <c r="K10" s="11">
        <f>34.54271%*(1-$I10)</f>
        <v>3.454270999999999E-2</v>
      </c>
      <c r="L10" s="11">
        <f>15.948602%*(1-$I10)</f>
        <v>1.5948601999999996E-2</v>
      </c>
      <c r="M10" s="13">
        <f>SUM(I10:L10)</f>
        <v>1.0000000019999999</v>
      </c>
    </row>
    <row r="11" spans="1:13" x14ac:dyDescent="0.25">
      <c r="A11" s="4" t="s">
        <v>20</v>
      </c>
      <c r="B11" s="4" t="s">
        <v>55</v>
      </c>
      <c r="C11" s="4" t="s">
        <v>3</v>
      </c>
      <c r="D11" s="4" t="s">
        <v>56</v>
      </c>
      <c r="E11" s="7">
        <v>0.43</v>
      </c>
      <c r="F11" s="7">
        <f>E11*dropdown!G$4</f>
        <v>0.38700000000000001</v>
      </c>
      <c r="G11" s="7">
        <f>F11*dropdown!G$4</f>
        <v>0.3483</v>
      </c>
      <c r="H11" s="7">
        <f>G11*dropdown!G$5</f>
        <v>0.31347000000000003</v>
      </c>
      <c r="I11" s="7">
        <f>I10*(E11/E10)</f>
        <v>0.5025974025974026</v>
      </c>
      <c r="J11" s="11">
        <f xml:space="preserve"> 40% * (1-$I11)</f>
        <v>0.19896103896103898</v>
      </c>
      <c r="K11" s="11">
        <f>40%*(1-$I11)</f>
        <v>0.19896103896103898</v>
      </c>
      <c r="L11" s="11">
        <f>20%*(1-$I11)</f>
        <v>9.9480519480519489E-2</v>
      </c>
      <c r="M11" s="13">
        <f t="shared" ref="M11:M13" si="2">SUM(I11:L11)</f>
        <v>1</v>
      </c>
    </row>
    <row r="12" spans="1:13" x14ac:dyDescent="0.25">
      <c r="A12" s="4" t="s">
        <v>20</v>
      </c>
      <c r="B12" s="4" t="s">
        <v>55</v>
      </c>
      <c r="C12" s="4" t="s">
        <v>39</v>
      </c>
      <c r="D12" s="4" t="s">
        <v>56</v>
      </c>
      <c r="E12" s="7">
        <v>7.0000000000000007E-2</v>
      </c>
      <c r="F12" s="7">
        <f>E12*dropdown!G$4</f>
        <v>6.3000000000000014E-2</v>
      </c>
      <c r="G12" s="7">
        <f>F12*dropdown!G$4</f>
        <v>5.6700000000000014E-2</v>
      </c>
      <c r="H12" s="7">
        <f>G12*dropdown!G$5</f>
        <v>5.1030000000000013E-2</v>
      </c>
      <c r="I12" s="7">
        <f>I10*(E12/E10)</f>
        <v>8.1818181818181818E-2</v>
      </c>
      <c r="J12" s="11">
        <f xml:space="preserve"> 30% * (1-$I12)</f>
        <v>0.27545454545454545</v>
      </c>
      <c r="K12" s="11">
        <f>45%*(1-$I12)</f>
        <v>0.41318181818181821</v>
      </c>
      <c r="L12" s="11">
        <f>25%*(1-$I12)</f>
        <v>0.22954545454545455</v>
      </c>
      <c r="M12" s="13">
        <f t="shared" si="2"/>
        <v>1</v>
      </c>
    </row>
    <row r="13" spans="1:13" x14ac:dyDescent="0.25">
      <c r="A13" s="5" t="s">
        <v>20</v>
      </c>
      <c r="B13" s="5" t="s">
        <v>55</v>
      </c>
      <c r="C13" s="5" t="s">
        <v>41</v>
      </c>
      <c r="D13" s="5" t="s">
        <v>56</v>
      </c>
      <c r="E13" s="9">
        <v>0.09</v>
      </c>
      <c r="F13" s="9">
        <f>E13*dropdown!G$4</f>
        <v>8.1000000000000003E-2</v>
      </c>
      <c r="G13" s="9">
        <f>F13*dropdown!G$4</f>
        <v>7.2900000000000006E-2</v>
      </c>
      <c r="H13" s="9">
        <f>G13*dropdown!G$5</f>
        <v>6.5610000000000002E-2</v>
      </c>
      <c r="I13" s="9">
        <f>I10*(E13/E10)</f>
        <v>0.10519480519480519</v>
      </c>
      <c r="J13" s="12">
        <f xml:space="preserve"> 20% * (1-$I13)</f>
        <v>0.17896103896103899</v>
      </c>
      <c r="K13" s="12">
        <f>50%*(1-$I13)</f>
        <v>0.44740259740259741</v>
      </c>
      <c r="L13" s="12">
        <f>30%*(1-$I13)</f>
        <v>0.26844155844155843</v>
      </c>
      <c r="M13" s="14">
        <f t="shared" si="2"/>
        <v>1</v>
      </c>
    </row>
    <row r="14" spans="1:13" x14ac:dyDescent="0.25">
      <c r="A14" s="4" t="s">
        <v>21</v>
      </c>
      <c r="B14" s="4" t="s">
        <v>55</v>
      </c>
      <c r="C14" s="4" t="s">
        <v>36</v>
      </c>
      <c r="D14" s="4" t="s">
        <v>56</v>
      </c>
      <c r="E14" s="7">
        <v>0.6</v>
      </c>
      <c r="F14" s="7">
        <f>E14*dropdown!G$4</f>
        <v>0.54</v>
      </c>
      <c r="G14" s="7">
        <f>F14*dropdown!G$4</f>
        <v>0.48600000000000004</v>
      </c>
      <c r="H14" s="7">
        <f>G14*dropdown!G$5</f>
        <v>0.43740000000000007</v>
      </c>
      <c r="I14" s="7">
        <v>0.5</v>
      </c>
      <c r="J14" s="8">
        <f>37.69154%*(1-I14)</f>
        <v>0.18845770000000001</v>
      </c>
      <c r="K14" s="8">
        <f>40.03997%*(1-$I14)</f>
        <v>0.20019984999999998</v>
      </c>
      <c r="L14" s="8">
        <f>22.268488%*(1-I14)</f>
        <v>0.11134244</v>
      </c>
      <c r="M14" s="13">
        <f>SUM(I14:L14)</f>
        <v>0.99999999000000006</v>
      </c>
    </row>
    <row r="15" spans="1:13" x14ac:dyDescent="0.25">
      <c r="A15" s="4" t="s">
        <v>21</v>
      </c>
      <c r="B15" s="4" t="s">
        <v>55</v>
      </c>
      <c r="C15" s="4" t="s">
        <v>3</v>
      </c>
      <c r="D15" s="4" t="s">
        <v>56</v>
      </c>
      <c r="E15" s="7">
        <v>0.1</v>
      </c>
      <c r="F15" s="7">
        <f>E15*dropdown!G$4</f>
        <v>9.0000000000000011E-2</v>
      </c>
      <c r="G15" s="7">
        <f>F15*dropdown!G$4</f>
        <v>8.1000000000000016E-2</v>
      </c>
      <c r="H15" s="7">
        <f>G15*dropdown!G$5</f>
        <v>7.290000000000002E-2</v>
      </c>
      <c r="I15" s="7">
        <f>I14*(E15/E14)</f>
        <v>8.3333333333333343E-2</v>
      </c>
      <c r="J15" s="8">
        <f>30%*(1-I15)</f>
        <v>0.27499999999999997</v>
      </c>
      <c r="K15" s="8">
        <f>45%*(1-$I15)</f>
        <v>0.41249999999999998</v>
      </c>
      <c r="L15" s="8">
        <f>25%*(1-I15)</f>
        <v>0.22916666666666666</v>
      </c>
      <c r="M15" s="13">
        <f t="shared" ref="M15:M17" si="3">SUM(I15:L15)</f>
        <v>0.99999999999999989</v>
      </c>
    </row>
    <row r="16" spans="1:13" x14ac:dyDescent="0.25">
      <c r="A16" s="4" t="s">
        <v>21</v>
      </c>
      <c r="B16" s="4" t="s">
        <v>55</v>
      </c>
      <c r="C16" s="4" t="s">
        <v>39</v>
      </c>
      <c r="D16" s="4" t="s">
        <v>56</v>
      </c>
      <c r="E16" s="7">
        <v>0.05</v>
      </c>
      <c r="F16" s="7">
        <f>E16*dropdown!G$4</f>
        <v>4.5000000000000005E-2</v>
      </c>
      <c r="G16" s="7">
        <f>F16*dropdown!G$4</f>
        <v>4.0500000000000008E-2</v>
      </c>
      <c r="H16" s="7">
        <f>G16*dropdown!G$5</f>
        <v>3.645000000000001E-2</v>
      </c>
      <c r="I16" s="7">
        <f>I15*(E16/E14)</f>
        <v>6.9444444444444458E-3</v>
      </c>
      <c r="J16" s="8">
        <f>25%*(1-I16)</f>
        <v>0.2482638888888889</v>
      </c>
      <c r="K16" s="8">
        <f>50%*(1-$I16)</f>
        <v>0.49652777777777779</v>
      </c>
      <c r="L16" s="8">
        <f>25%*(1-I16)</f>
        <v>0.2482638888888889</v>
      </c>
      <c r="M16" s="13">
        <f t="shared" si="3"/>
        <v>1</v>
      </c>
    </row>
    <row r="17" spans="1:13" x14ac:dyDescent="0.25">
      <c r="A17" s="5" t="s">
        <v>21</v>
      </c>
      <c r="B17" s="5" t="s">
        <v>55</v>
      </c>
      <c r="C17" s="5" t="s">
        <v>41</v>
      </c>
      <c r="D17" s="5" t="s">
        <v>56</v>
      </c>
      <c r="E17" s="9">
        <v>0.01</v>
      </c>
      <c r="F17" s="9">
        <f>E17*dropdown!G$4</f>
        <v>9.0000000000000011E-3</v>
      </c>
      <c r="G17" s="9">
        <f>F17*dropdown!G$4</f>
        <v>8.1000000000000013E-3</v>
      </c>
      <c r="H17" s="9">
        <f>G17*dropdown!G$5</f>
        <v>7.2900000000000013E-3</v>
      </c>
      <c r="I17" s="9">
        <f>I16*(E17/E14)</f>
        <v>1.1574074074074076E-4</v>
      </c>
      <c r="J17" s="10">
        <f>20%*(1-I17)</f>
        <v>0.19997685185185188</v>
      </c>
      <c r="K17" s="10">
        <f>55%*(1-$I17)</f>
        <v>0.54993634259259261</v>
      </c>
      <c r="L17" s="10">
        <f>25%*(1-I17)</f>
        <v>0.24997106481481482</v>
      </c>
      <c r="M17" s="14">
        <f t="shared" si="3"/>
        <v>1</v>
      </c>
    </row>
    <row r="18" spans="1:13" x14ac:dyDescent="0.25">
      <c r="A18" s="4" t="s">
        <v>22</v>
      </c>
      <c r="B18" s="4" t="s">
        <v>55</v>
      </c>
      <c r="C18" s="4" t="s">
        <v>36</v>
      </c>
      <c r="D18" s="4" t="s">
        <v>56</v>
      </c>
      <c r="E18" s="7">
        <v>0</v>
      </c>
      <c r="F18" s="7">
        <v>0.5</v>
      </c>
      <c r="G18" s="7">
        <f>F18*dropdown!G$4</f>
        <v>0.45</v>
      </c>
      <c r="H18" s="7">
        <f>G18*dropdown!G$5</f>
        <v>0.40500000000000003</v>
      </c>
      <c r="I18" s="7">
        <v>0</v>
      </c>
      <c r="J18" s="8">
        <v>1</v>
      </c>
      <c r="K18" s="8">
        <v>0</v>
      </c>
      <c r="L18" s="8">
        <v>0</v>
      </c>
      <c r="M18" s="7">
        <f>SUM(I18:L18)</f>
        <v>1</v>
      </c>
    </row>
    <row r="19" spans="1:13" x14ac:dyDescent="0.25">
      <c r="A19" s="4" t="s">
        <v>22</v>
      </c>
      <c r="B19" s="4" t="s">
        <v>55</v>
      </c>
      <c r="C19" s="4" t="s">
        <v>3</v>
      </c>
      <c r="D19" s="4" t="s">
        <v>56</v>
      </c>
      <c r="E19" s="7">
        <v>0</v>
      </c>
      <c r="F19" s="7">
        <v>0.4</v>
      </c>
      <c r="G19" s="7">
        <f>F19*dropdown!G$4</f>
        <v>0.36000000000000004</v>
      </c>
      <c r="H19" s="7">
        <f>G19*dropdown!G$5</f>
        <v>0.32400000000000007</v>
      </c>
      <c r="I19" s="7">
        <v>0</v>
      </c>
      <c r="J19" s="8">
        <v>1</v>
      </c>
      <c r="K19" s="8">
        <v>0</v>
      </c>
      <c r="L19" s="8">
        <v>0</v>
      </c>
      <c r="M19" s="7">
        <f t="shared" ref="M19:M21" si="4">SUM(I19:L19)</f>
        <v>1</v>
      </c>
    </row>
    <row r="20" spans="1:13" x14ac:dyDescent="0.25">
      <c r="A20" s="4" t="s">
        <v>22</v>
      </c>
      <c r="B20" s="4" t="s">
        <v>55</v>
      </c>
      <c r="C20" s="4" t="s">
        <v>39</v>
      </c>
      <c r="D20" s="4" t="s">
        <v>56</v>
      </c>
      <c r="E20" s="7">
        <v>0</v>
      </c>
      <c r="F20" s="7">
        <v>0.3</v>
      </c>
      <c r="G20" s="7">
        <f>F20*dropdown!G$4</f>
        <v>0.27</v>
      </c>
      <c r="H20" s="7">
        <f>G20*dropdown!G$5</f>
        <v>0.24300000000000002</v>
      </c>
      <c r="I20" s="7">
        <v>0</v>
      </c>
      <c r="J20" s="8">
        <v>1</v>
      </c>
      <c r="K20" s="8">
        <v>0</v>
      </c>
      <c r="L20" s="8">
        <v>0</v>
      </c>
      <c r="M20" s="7">
        <f t="shared" si="4"/>
        <v>1</v>
      </c>
    </row>
    <row r="21" spans="1:13" x14ac:dyDescent="0.25">
      <c r="A21" s="5" t="s">
        <v>22</v>
      </c>
      <c r="B21" s="5" t="s">
        <v>55</v>
      </c>
      <c r="C21" s="5" t="s">
        <v>41</v>
      </c>
      <c r="D21" s="5" t="s">
        <v>56</v>
      </c>
      <c r="E21" s="9">
        <v>0</v>
      </c>
      <c r="F21" s="9">
        <v>0.05</v>
      </c>
      <c r="G21" s="9">
        <f>F21*dropdown!G$4</f>
        <v>4.5000000000000005E-2</v>
      </c>
      <c r="H21" s="9">
        <f>G21*dropdown!G$5</f>
        <v>4.0500000000000008E-2</v>
      </c>
      <c r="I21" s="9">
        <v>0</v>
      </c>
      <c r="J21" s="10">
        <v>1</v>
      </c>
      <c r="K21" s="10">
        <v>0</v>
      </c>
      <c r="L21" s="10">
        <v>0</v>
      </c>
      <c r="M21" s="9">
        <f t="shared" si="4"/>
        <v>1</v>
      </c>
    </row>
    <row r="22" spans="1:13" x14ac:dyDescent="0.25">
      <c r="A22" s="4" t="s">
        <v>23</v>
      </c>
      <c r="B22" s="4" t="s">
        <v>55</v>
      </c>
      <c r="C22" s="4" t="s">
        <v>36</v>
      </c>
      <c r="D22" s="4" t="s">
        <v>56</v>
      </c>
      <c r="E22" s="7">
        <v>0</v>
      </c>
      <c r="F22" s="7">
        <v>0.5</v>
      </c>
      <c r="G22" s="7">
        <f>F22*dropdown!G$4</f>
        <v>0.45</v>
      </c>
      <c r="H22" s="7">
        <f>G22*dropdown!G$5</f>
        <v>0.40500000000000003</v>
      </c>
      <c r="I22" s="7">
        <v>0</v>
      </c>
      <c r="J22" s="8">
        <v>1</v>
      </c>
      <c r="K22" s="8">
        <v>0</v>
      </c>
      <c r="L22" s="8">
        <v>0</v>
      </c>
      <c r="M22" s="7">
        <f>SUM(I22:L22)</f>
        <v>1</v>
      </c>
    </row>
    <row r="23" spans="1:13" x14ac:dyDescent="0.25">
      <c r="A23" s="4" t="s">
        <v>23</v>
      </c>
      <c r="B23" s="4" t="s">
        <v>55</v>
      </c>
      <c r="C23" s="4" t="s">
        <v>3</v>
      </c>
      <c r="D23" s="4" t="s">
        <v>56</v>
      </c>
      <c r="E23" s="7">
        <v>0</v>
      </c>
      <c r="F23" s="7">
        <v>0.4</v>
      </c>
      <c r="G23" s="7">
        <f>F23*dropdown!G$4</f>
        <v>0.36000000000000004</v>
      </c>
      <c r="H23" s="7">
        <f>G23*dropdown!G$5</f>
        <v>0.32400000000000007</v>
      </c>
      <c r="I23" s="7">
        <v>0</v>
      </c>
      <c r="J23" s="8">
        <v>1</v>
      </c>
      <c r="K23" s="8">
        <v>0</v>
      </c>
      <c r="L23" s="8">
        <v>0</v>
      </c>
      <c r="M23" s="7">
        <f t="shared" ref="M23:M25" si="5">SUM(I23:L23)</f>
        <v>1</v>
      </c>
    </row>
    <row r="24" spans="1:13" x14ac:dyDescent="0.25">
      <c r="A24" s="4" t="s">
        <v>23</v>
      </c>
      <c r="B24" s="4" t="s">
        <v>55</v>
      </c>
      <c r="C24" s="4" t="s">
        <v>39</v>
      </c>
      <c r="D24" s="4" t="s">
        <v>56</v>
      </c>
      <c r="E24" s="7">
        <v>0</v>
      </c>
      <c r="F24" s="7">
        <v>0.3</v>
      </c>
      <c r="G24" s="7">
        <f>F24*dropdown!G$4</f>
        <v>0.27</v>
      </c>
      <c r="H24" s="7">
        <f>G24*dropdown!G$5</f>
        <v>0.24300000000000002</v>
      </c>
      <c r="I24" s="7">
        <v>0</v>
      </c>
      <c r="J24" s="8">
        <v>1</v>
      </c>
      <c r="K24" s="8">
        <v>0</v>
      </c>
      <c r="L24" s="8">
        <v>0</v>
      </c>
      <c r="M24" s="7">
        <f t="shared" si="5"/>
        <v>1</v>
      </c>
    </row>
    <row r="25" spans="1:13" x14ac:dyDescent="0.25">
      <c r="A25" s="5" t="s">
        <v>23</v>
      </c>
      <c r="B25" s="5" t="s">
        <v>55</v>
      </c>
      <c r="C25" s="5" t="s">
        <v>41</v>
      </c>
      <c r="D25" s="5" t="s">
        <v>56</v>
      </c>
      <c r="E25" s="9">
        <v>0</v>
      </c>
      <c r="F25" s="9">
        <v>0.05</v>
      </c>
      <c r="G25" s="9">
        <f>F25*dropdown!G$4</f>
        <v>4.5000000000000005E-2</v>
      </c>
      <c r="H25" s="9">
        <f>G25*dropdown!G$5</f>
        <v>4.0500000000000008E-2</v>
      </c>
      <c r="I25" s="9">
        <v>0</v>
      </c>
      <c r="J25" s="10">
        <v>1</v>
      </c>
      <c r="K25" s="10">
        <v>0</v>
      </c>
      <c r="L25" s="10">
        <v>0</v>
      </c>
      <c r="M25" s="9">
        <f t="shared" si="5"/>
        <v>1</v>
      </c>
    </row>
    <row r="26" spans="1:13" x14ac:dyDescent="0.25">
      <c r="A26" s="4" t="s">
        <v>24</v>
      </c>
      <c r="B26" s="4" t="s">
        <v>55</v>
      </c>
      <c r="C26" s="4" t="s">
        <v>36</v>
      </c>
      <c r="D26" s="4" t="s">
        <v>56</v>
      </c>
      <c r="E26" s="7">
        <v>0</v>
      </c>
      <c r="F26" s="7">
        <v>0.5</v>
      </c>
      <c r="G26" s="7">
        <f>F26*dropdown!G$4</f>
        <v>0.45</v>
      </c>
      <c r="H26" s="7">
        <f>G26*dropdown!G$5</f>
        <v>0.40500000000000003</v>
      </c>
      <c r="I26" s="7">
        <v>0</v>
      </c>
      <c r="J26" s="8">
        <v>1</v>
      </c>
      <c r="K26" s="8">
        <v>0</v>
      </c>
      <c r="L26" s="8">
        <v>0</v>
      </c>
      <c r="M26" s="7">
        <f>SUM(I26:L26)</f>
        <v>1</v>
      </c>
    </row>
    <row r="27" spans="1:13" x14ac:dyDescent="0.25">
      <c r="A27" s="4" t="s">
        <v>24</v>
      </c>
      <c r="B27" s="4" t="s">
        <v>55</v>
      </c>
      <c r="C27" s="4" t="s">
        <v>3</v>
      </c>
      <c r="D27" s="4" t="s">
        <v>56</v>
      </c>
      <c r="E27" s="7">
        <v>0</v>
      </c>
      <c r="F27" s="7">
        <v>0.4</v>
      </c>
      <c r="G27" s="7">
        <f>F27*dropdown!G$4</f>
        <v>0.36000000000000004</v>
      </c>
      <c r="H27" s="7">
        <f>G27*dropdown!G$5</f>
        <v>0.32400000000000007</v>
      </c>
      <c r="I27" s="7">
        <v>0</v>
      </c>
      <c r="J27" s="8">
        <v>1</v>
      </c>
      <c r="K27" s="8">
        <v>0</v>
      </c>
      <c r="L27" s="8">
        <v>0</v>
      </c>
      <c r="M27" s="7">
        <f t="shared" ref="M27:M29" si="6">SUM(I27:L27)</f>
        <v>1</v>
      </c>
    </row>
    <row r="28" spans="1:13" x14ac:dyDescent="0.25">
      <c r="A28" s="4" t="s">
        <v>24</v>
      </c>
      <c r="B28" s="4" t="s">
        <v>55</v>
      </c>
      <c r="C28" s="4" t="s">
        <v>39</v>
      </c>
      <c r="D28" s="4" t="s">
        <v>56</v>
      </c>
      <c r="E28" s="7">
        <v>0</v>
      </c>
      <c r="F28" s="7">
        <v>0.3</v>
      </c>
      <c r="G28" s="7">
        <f>F28*dropdown!G$4</f>
        <v>0.27</v>
      </c>
      <c r="H28" s="7">
        <f>G28*dropdown!G$5</f>
        <v>0.24300000000000002</v>
      </c>
      <c r="I28" s="7">
        <v>0</v>
      </c>
      <c r="J28" s="8">
        <v>1</v>
      </c>
      <c r="K28" s="8">
        <v>0</v>
      </c>
      <c r="L28" s="8">
        <v>0</v>
      </c>
      <c r="M28" s="7">
        <f t="shared" si="6"/>
        <v>1</v>
      </c>
    </row>
    <row r="29" spans="1:13" x14ac:dyDescent="0.25">
      <c r="A29" s="5" t="s">
        <v>24</v>
      </c>
      <c r="B29" s="5" t="s">
        <v>55</v>
      </c>
      <c r="C29" s="5" t="s">
        <v>41</v>
      </c>
      <c r="D29" s="5" t="s">
        <v>56</v>
      </c>
      <c r="E29" s="9">
        <v>0</v>
      </c>
      <c r="F29" s="9">
        <v>0.05</v>
      </c>
      <c r="G29" s="9">
        <f>F29*dropdown!G$4</f>
        <v>4.5000000000000005E-2</v>
      </c>
      <c r="H29" s="9">
        <f>G29*dropdown!G$5</f>
        <v>4.0500000000000008E-2</v>
      </c>
      <c r="I29" s="9">
        <v>0</v>
      </c>
      <c r="J29" s="10">
        <v>1</v>
      </c>
      <c r="K29" s="10">
        <v>0</v>
      </c>
      <c r="L29" s="10">
        <v>0</v>
      </c>
      <c r="M29" s="9">
        <f t="shared" si="6"/>
        <v>1</v>
      </c>
    </row>
    <row r="30" spans="1:13" x14ac:dyDescent="0.25">
      <c r="A30" s="4" t="s">
        <v>25</v>
      </c>
      <c r="B30" s="4" t="s">
        <v>55</v>
      </c>
      <c r="C30" s="4" t="s">
        <v>36</v>
      </c>
      <c r="D30" s="4" t="s">
        <v>56</v>
      </c>
      <c r="E30" s="7">
        <v>0</v>
      </c>
      <c r="F30" s="7">
        <v>0.5</v>
      </c>
      <c r="G30" s="7">
        <f>F30*dropdown!G$4</f>
        <v>0.45</v>
      </c>
      <c r="H30" s="7">
        <f>G30*dropdown!G$5</f>
        <v>0.40500000000000003</v>
      </c>
      <c r="I30" s="7">
        <v>0</v>
      </c>
      <c r="J30" s="8">
        <v>1</v>
      </c>
      <c r="K30" s="8">
        <v>0</v>
      </c>
      <c r="L30" s="8">
        <v>0</v>
      </c>
      <c r="M30" s="7">
        <f>SUM(I30:L30)</f>
        <v>1</v>
      </c>
    </row>
    <row r="31" spans="1:13" x14ac:dyDescent="0.25">
      <c r="A31" s="4" t="s">
        <v>25</v>
      </c>
      <c r="B31" s="4" t="s">
        <v>55</v>
      </c>
      <c r="C31" s="4" t="s">
        <v>3</v>
      </c>
      <c r="D31" s="4" t="s">
        <v>56</v>
      </c>
      <c r="E31" s="7">
        <v>0</v>
      </c>
      <c r="F31" s="7">
        <v>0.4</v>
      </c>
      <c r="G31" s="7">
        <f>F31*dropdown!G$4</f>
        <v>0.36000000000000004</v>
      </c>
      <c r="H31" s="7">
        <f>G31*dropdown!G$5</f>
        <v>0.32400000000000007</v>
      </c>
      <c r="I31" s="7">
        <v>0</v>
      </c>
      <c r="J31" s="8">
        <v>1</v>
      </c>
      <c r="K31" s="8">
        <v>0</v>
      </c>
      <c r="L31" s="8">
        <v>0</v>
      </c>
      <c r="M31" s="7">
        <f t="shared" ref="M31:M33" si="7">SUM(I31:L31)</f>
        <v>1</v>
      </c>
    </row>
    <row r="32" spans="1:13" x14ac:dyDescent="0.25">
      <c r="A32" s="4" t="s">
        <v>25</v>
      </c>
      <c r="B32" s="4" t="s">
        <v>55</v>
      </c>
      <c r="C32" s="4" t="s">
        <v>39</v>
      </c>
      <c r="D32" s="4" t="s">
        <v>56</v>
      </c>
      <c r="E32" s="7">
        <v>0</v>
      </c>
      <c r="F32" s="7">
        <v>0.3</v>
      </c>
      <c r="G32" s="7">
        <f>F32*dropdown!G$4</f>
        <v>0.27</v>
      </c>
      <c r="H32" s="7">
        <f>G32*dropdown!G$5</f>
        <v>0.24300000000000002</v>
      </c>
      <c r="I32" s="7">
        <v>0</v>
      </c>
      <c r="J32" s="8">
        <v>1</v>
      </c>
      <c r="K32" s="8">
        <v>0</v>
      </c>
      <c r="L32" s="8">
        <v>0</v>
      </c>
      <c r="M32" s="7">
        <f t="shared" si="7"/>
        <v>1</v>
      </c>
    </row>
    <row r="33" spans="1:13" x14ac:dyDescent="0.25">
      <c r="A33" s="5" t="s">
        <v>25</v>
      </c>
      <c r="B33" s="5" t="s">
        <v>55</v>
      </c>
      <c r="C33" s="5" t="s">
        <v>41</v>
      </c>
      <c r="D33" s="5" t="s">
        <v>56</v>
      </c>
      <c r="E33" s="9">
        <v>0</v>
      </c>
      <c r="F33" s="9">
        <v>0.05</v>
      </c>
      <c r="G33" s="9">
        <f>F33*dropdown!G$4</f>
        <v>4.5000000000000005E-2</v>
      </c>
      <c r="H33" s="9">
        <f>G33*dropdown!G$5</f>
        <v>4.0500000000000008E-2</v>
      </c>
      <c r="I33" s="9">
        <v>0</v>
      </c>
      <c r="J33" s="10">
        <v>1</v>
      </c>
      <c r="K33" s="10">
        <v>0</v>
      </c>
      <c r="L33" s="10">
        <v>0</v>
      </c>
      <c r="M33" s="9">
        <f t="shared" si="7"/>
        <v>1</v>
      </c>
    </row>
    <row r="34" spans="1:13" x14ac:dyDescent="0.25">
      <c r="A34" s="4" t="s">
        <v>26</v>
      </c>
      <c r="B34" s="4" t="s">
        <v>55</v>
      </c>
      <c r="C34" s="4" t="s">
        <v>36</v>
      </c>
      <c r="D34" s="4" t="s">
        <v>56</v>
      </c>
      <c r="E34" s="7">
        <v>0</v>
      </c>
      <c r="F34" s="7">
        <v>0.5</v>
      </c>
      <c r="G34" s="7">
        <f>F34*dropdown!G$4</f>
        <v>0.45</v>
      </c>
      <c r="H34" s="7">
        <f>G34*dropdown!G$5</f>
        <v>0.40500000000000003</v>
      </c>
      <c r="I34" s="7">
        <v>0</v>
      </c>
      <c r="J34" s="8">
        <v>1</v>
      </c>
      <c r="K34" s="8">
        <v>0</v>
      </c>
      <c r="L34" s="8">
        <v>0</v>
      </c>
      <c r="M34" s="7">
        <f>SUM(I34:L34)</f>
        <v>1</v>
      </c>
    </row>
    <row r="35" spans="1:13" x14ac:dyDescent="0.25">
      <c r="A35" s="4" t="s">
        <v>26</v>
      </c>
      <c r="B35" s="4" t="s">
        <v>55</v>
      </c>
      <c r="C35" s="4" t="s">
        <v>3</v>
      </c>
      <c r="D35" s="4" t="s">
        <v>56</v>
      </c>
      <c r="E35" s="7">
        <v>0</v>
      </c>
      <c r="F35" s="7">
        <v>0.4</v>
      </c>
      <c r="G35" s="7">
        <f>F35*dropdown!G$4</f>
        <v>0.36000000000000004</v>
      </c>
      <c r="H35" s="7">
        <f>G35*dropdown!G$5</f>
        <v>0.32400000000000007</v>
      </c>
      <c r="I35" s="7">
        <v>0</v>
      </c>
      <c r="J35" s="8">
        <v>1</v>
      </c>
      <c r="K35" s="8">
        <v>0</v>
      </c>
      <c r="L35" s="8">
        <v>0</v>
      </c>
      <c r="M35" s="7">
        <f t="shared" ref="M35:M37" si="8">SUM(I35:L35)</f>
        <v>1</v>
      </c>
    </row>
    <row r="36" spans="1:13" x14ac:dyDescent="0.25">
      <c r="A36" s="4" t="s">
        <v>26</v>
      </c>
      <c r="B36" s="4" t="s">
        <v>55</v>
      </c>
      <c r="C36" s="4" t="s">
        <v>39</v>
      </c>
      <c r="D36" s="4" t="s">
        <v>56</v>
      </c>
      <c r="E36" s="7">
        <v>0</v>
      </c>
      <c r="F36" s="7">
        <v>0.3</v>
      </c>
      <c r="G36" s="7">
        <f>F36*dropdown!G$4</f>
        <v>0.27</v>
      </c>
      <c r="H36" s="7">
        <f>G36*dropdown!G$5</f>
        <v>0.24300000000000002</v>
      </c>
      <c r="I36" s="7">
        <v>0</v>
      </c>
      <c r="J36" s="8">
        <v>1</v>
      </c>
      <c r="K36" s="8">
        <v>0</v>
      </c>
      <c r="L36" s="8">
        <v>0</v>
      </c>
      <c r="M36" s="7">
        <f t="shared" si="8"/>
        <v>1</v>
      </c>
    </row>
    <row r="37" spans="1:13" x14ac:dyDescent="0.25">
      <c r="A37" s="5" t="s">
        <v>26</v>
      </c>
      <c r="B37" s="5" t="s">
        <v>55</v>
      </c>
      <c r="C37" s="5" t="s">
        <v>41</v>
      </c>
      <c r="D37" s="5" t="s">
        <v>56</v>
      </c>
      <c r="E37" s="9">
        <v>0</v>
      </c>
      <c r="F37" s="9">
        <v>0.05</v>
      </c>
      <c r="G37" s="9">
        <f>F37*dropdown!G$4</f>
        <v>4.5000000000000005E-2</v>
      </c>
      <c r="H37" s="9">
        <f>G37*dropdown!G$5</f>
        <v>4.0500000000000008E-2</v>
      </c>
      <c r="I37" s="9">
        <v>0</v>
      </c>
      <c r="J37" s="10">
        <v>1</v>
      </c>
      <c r="K37" s="10">
        <v>0</v>
      </c>
      <c r="L37" s="10">
        <v>0</v>
      </c>
      <c r="M37" s="9">
        <f t="shared" si="8"/>
        <v>1</v>
      </c>
    </row>
    <row r="38" spans="1:13" x14ac:dyDescent="0.25">
      <c r="A38" s="4" t="s">
        <v>27</v>
      </c>
      <c r="B38" s="4" t="s">
        <v>55</v>
      </c>
      <c r="C38" s="4" t="s">
        <v>36</v>
      </c>
      <c r="D38" s="4" t="s">
        <v>56</v>
      </c>
      <c r="E38" s="7">
        <v>0</v>
      </c>
      <c r="F38" s="7">
        <v>0.5</v>
      </c>
      <c r="G38" s="7">
        <f>F38*dropdown!G$4</f>
        <v>0.45</v>
      </c>
      <c r="H38" s="7">
        <f>G38*dropdown!G$5</f>
        <v>0.40500000000000003</v>
      </c>
      <c r="I38" s="7">
        <v>0</v>
      </c>
      <c r="J38" s="8">
        <v>1</v>
      </c>
      <c r="K38" s="8">
        <v>0</v>
      </c>
      <c r="L38" s="8">
        <v>0</v>
      </c>
      <c r="M38" s="7">
        <f>SUM(I38:L38)</f>
        <v>1</v>
      </c>
    </row>
    <row r="39" spans="1:13" x14ac:dyDescent="0.25">
      <c r="A39" s="4" t="s">
        <v>27</v>
      </c>
      <c r="B39" s="4" t="s">
        <v>55</v>
      </c>
      <c r="C39" s="4" t="s">
        <v>3</v>
      </c>
      <c r="D39" s="4" t="s">
        <v>56</v>
      </c>
      <c r="E39" s="7">
        <v>0</v>
      </c>
      <c r="F39" s="7">
        <v>0.4</v>
      </c>
      <c r="G39" s="7">
        <f>F39*dropdown!G$4</f>
        <v>0.36000000000000004</v>
      </c>
      <c r="H39" s="7">
        <f>G39*dropdown!G$5</f>
        <v>0.32400000000000007</v>
      </c>
      <c r="I39" s="7">
        <v>0</v>
      </c>
      <c r="J39" s="8">
        <v>1</v>
      </c>
      <c r="K39" s="8">
        <v>0</v>
      </c>
      <c r="L39" s="8">
        <v>0</v>
      </c>
      <c r="M39" s="7">
        <f t="shared" ref="M39:M41" si="9">SUM(I39:L39)</f>
        <v>1</v>
      </c>
    </row>
    <row r="40" spans="1:13" x14ac:dyDescent="0.25">
      <c r="A40" s="4" t="s">
        <v>27</v>
      </c>
      <c r="B40" s="4" t="s">
        <v>55</v>
      </c>
      <c r="C40" s="4" t="s">
        <v>39</v>
      </c>
      <c r="D40" s="4" t="s">
        <v>56</v>
      </c>
      <c r="E40" s="7">
        <v>0</v>
      </c>
      <c r="F40" s="7">
        <v>0.3</v>
      </c>
      <c r="G40" s="7">
        <f>F40*dropdown!G$4</f>
        <v>0.27</v>
      </c>
      <c r="H40" s="7">
        <f>G40*dropdown!G$5</f>
        <v>0.24300000000000002</v>
      </c>
      <c r="I40" s="7">
        <v>0</v>
      </c>
      <c r="J40" s="8">
        <v>1</v>
      </c>
      <c r="K40" s="8">
        <v>0</v>
      </c>
      <c r="L40" s="8">
        <v>0</v>
      </c>
      <c r="M40" s="7">
        <f t="shared" si="9"/>
        <v>1</v>
      </c>
    </row>
    <row r="41" spans="1:13" x14ac:dyDescent="0.25">
      <c r="A41" s="5" t="s">
        <v>27</v>
      </c>
      <c r="B41" s="5" t="s">
        <v>55</v>
      </c>
      <c r="C41" s="5" t="s">
        <v>41</v>
      </c>
      <c r="D41" s="5" t="s">
        <v>56</v>
      </c>
      <c r="E41" s="9">
        <v>0</v>
      </c>
      <c r="F41" s="9">
        <v>0.05</v>
      </c>
      <c r="G41" s="9">
        <f>F41*dropdown!G$4</f>
        <v>4.5000000000000005E-2</v>
      </c>
      <c r="H41" s="9">
        <f>G41*dropdown!G$5</f>
        <v>4.0500000000000008E-2</v>
      </c>
      <c r="I41" s="9">
        <v>0</v>
      </c>
      <c r="J41" s="10">
        <v>1</v>
      </c>
      <c r="K41" s="10">
        <v>0</v>
      </c>
      <c r="L41" s="10">
        <v>0</v>
      </c>
      <c r="M41" s="9">
        <f t="shared" si="9"/>
        <v>1</v>
      </c>
    </row>
    <row r="42" spans="1:13" x14ac:dyDescent="0.25">
      <c r="A42" s="4" t="s">
        <v>28</v>
      </c>
      <c r="B42" s="4" t="s">
        <v>55</v>
      </c>
      <c r="C42" s="4" t="s">
        <v>36</v>
      </c>
      <c r="D42" s="4" t="s">
        <v>56</v>
      </c>
      <c r="E42" s="7">
        <v>0</v>
      </c>
      <c r="F42" s="7">
        <v>0.5</v>
      </c>
      <c r="G42" s="7">
        <f>F42*dropdown!G$4</f>
        <v>0.45</v>
      </c>
      <c r="H42" s="7">
        <f>G42*dropdown!G$5</f>
        <v>0.40500000000000003</v>
      </c>
      <c r="I42" s="7">
        <v>0</v>
      </c>
      <c r="J42" s="8">
        <v>1</v>
      </c>
      <c r="K42" s="8">
        <v>0</v>
      </c>
      <c r="L42" s="8">
        <v>0</v>
      </c>
      <c r="M42" s="7">
        <f>SUM(I42:L42)</f>
        <v>1</v>
      </c>
    </row>
    <row r="43" spans="1:13" x14ac:dyDescent="0.25">
      <c r="A43" s="4" t="s">
        <v>28</v>
      </c>
      <c r="B43" s="4" t="s">
        <v>55</v>
      </c>
      <c r="C43" s="4" t="s">
        <v>3</v>
      </c>
      <c r="D43" s="4" t="s">
        <v>56</v>
      </c>
      <c r="E43" s="7">
        <v>0</v>
      </c>
      <c r="F43" s="7">
        <v>0.4</v>
      </c>
      <c r="G43" s="7">
        <f>F43*dropdown!G$4</f>
        <v>0.36000000000000004</v>
      </c>
      <c r="H43" s="7">
        <f>G43*dropdown!G$5</f>
        <v>0.32400000000000007</v>
      </c>
      <c r="I43" s="7">
        <v>0</v>
      </c>
      <c r="J43" s="8">
        <v>1</v>
      </c>
      <c r="K43" s="8">
        <v>0</v>
      </c>
      <c r="L43" s="8">
        <v>0</v>
      </c>
      <c r="M43" s="7">
        <f t="shared" ref="M43:M45" si="10">SUM(I43:L43)</f>
        <v>1</v>
      </c>
    </row>
    <row r="44" spans="1:13" x14ac:dyDescent="0.25">
      <c r="A44" s="4" t="s">
        <v>28</v>
      </c>
      <c r="B44" s="4" t="s">
        <v>55</v>
      </c>
      <c r="C44" s="4" t="s">
        <v>39</v>
      </c>
      <c r="D44" s="4" t="s">
        <v>56</v>
      </c>
      <c r="E44" s="7">
        <v>0</v>
      </c>
      <c r="F44" s="7">
        <v>0.3</v>
      </c>
      <c r="G44" s="7">
        <f>F44*dropdown!G$4</f>
        <v>0.27</v>
      </c>
      <c r="H44" s="7">
        <f>G44*dropdown!G$5</f>
        <v>0.24300000000000002</v>
      </c>
      <c r="I44" s="7">
        <v>0</v>
      </c>
      <c r="J44" s="8">
        <v>1</v>
      </c>
      <c r="K44" s="8">
        <v>0</v>
      </c>
      <c r="L44" s="8">
        <v>0</v>
      </c>
      <c r="M44" s="7">
        <f t="shared" si="10"/>
        <v>1</v>
      </c>
    </row>
    <row r="45" spans="1:13" x14ac:dyDescent="0.25">
      <c r="A45" s="5" t="s">
        <v>28</v>
      </c>
      <c r="B45" s="5" t="s">
        <v>55</v>
      </c>
      <c r="C45" s="5" t="s">
        <v>41</v>
      </c>
      <c r="D45" s="5" t="s">
        <v>56</v>
      </c>
      <c r="E45" s="9">
        <v>0</v>
      </c>
      <c r="F45" s="9">
        <v>0.05</v>
      </c>
      <c r="G45" s="9">
        <f>F45*dropdown!G$4</f>
        <v>4.5000000000000005E-2</v>
      </c>
      <c r="H45" s="9">
        <f>G45*dropdown!G$5</f>
        <v>4.0500000000000008E-2</v>
      </c>
      <c r="I45" s="9">
        <v>0</v>
      </c>
      <c r="J45" s="10">
        <v>1</v>
      </c>
      <c r="K45" s="10">
        <v>0</v>
      </c>
      <c r="L45" s="10">
        <v>0</v>
      </c>
      <c r="M45" s="9">
        <f t="shared" si="10"/>
        <v>1</v>
      </c>
    </row>
    <row r="46" spans="1:13" x14ac:dyDescent="0.25">
      <c r="A46" s="4" t="s">
        <v>29</v>
      </c>
      <c r="B46" s="4" t="s">
        <v>55</v>
      </c>
      <c r="C46" s="4" t="s">
        <v>36</v>
      </c>
      <c r="D46" s="4" t="s">
        <v>56</v>
      </c>
      <c r="E46" s="7">
        <v>0</v>
      </c>
      <c r="F46" s="7">
        <v>0.5</v>
      </c>
      <c r="G46" s="7">
        <f>F46*dropdown!G$4</f>
        <v>0.45</v>
      </c>
      <c r="H46" s="7">
        <f>G46*dropdown!G$5</f>
        <v>0.40500000000000003</v>
      </c>
      <c r="I46" s="7">
        <v>0</v>
      </c>
      <c r="J46" s="8">
        <v>0.74559310000000001</v>
      </c>
      <c r="K46" s="8">
        <v>0.1587829</v>
      </c>
      <c r="L46" s="8">
        <f>1-(J46+K46)</f>
        <v>9.5623999999999931E-2</v>
      </c>
      <c r="M46" s="7">
        <f>SUM(I46:L46)</f>
        <v>1</v>
      </c>
    </row>
    <row r="47" spans="1:13" x14ac:dyDescent="0.25">
      <c r="A47" s="4" t="s">
        <v>29</v>
      </c>
      <c r="B47" s="4" t="s">
        <v>55</v>
      </c>
      <c r="C47" s="4" t="s">
        <v>3</v>
      </c>
      <c r="D47" s="4" t="s">
        <v>56</v>
      </c>
      <c r="E47" s="7">
        <v>0</v>
      </c>
      <c r="F47" s="7">
        <v>0.4</v>
      </c>
      <c r="G47" s="7">
        <f>F47*dropdown!G$4</f>
        <v>0.36000000000000004</v>
      </c>
      <c r="H47" s="7">
        <f>G47*dropdown!G$5</f>
        <v>0.32400000000000007</v>
      </c>
      <c r="I47" s="7">
        <v>0</v>
      </c>
      <c r="J47" s="7">
        <f>J46*(F47/F46)</f>
        <v>0.59647448000000003</v>
      </c>
      <c r="K47" s="7">
        <f>(1-J47)*K46/(K46+L46)</f>
        <v>0.25185225829019581</v>
      </c>
      <c r="L47" s="8">
        <f>1-(J47+K47)</f>
        <v>0.15167326170980422</v>
      </c>
      <c r="M47" s="7">
        <f t="shared" ref="M47:M49" si="11">SUM(I47:L47)</f>
        <v>1</v>
      </c>
    </row>
    <row r="48" spans="1:13" x14ac:dyDescent="0.25">
      <c r="A48" s="4" t="s">
        <v>29</v>
      </c>
      <c r="B48" s="4" t="s">
        <v>55</v>
      </c>
      <c r="C48" s="4" t="s">
        <v>39</v>
      </c>
      <c r="D48" s="4" t="s">
        <v>56</v>
      </c>
      <c r="E48" s="7">
        <v>0</v>
      </c>
      <c r="F48" s="7">
        <v>0.3</v>
      </c>
      <c r="G48" s="7">
        <f>F48*dropdown!G$4</f>
        <v>0.27</v>
      </c>
      <c r="H48" s="7">
        <f>G48*dropdown!G$5</f>
        <v>0.24300000000000002</v>
      </c>
      <c r="I48" s="7">
        <v>0</v>
      </c>
      <c r="J48" s="7">
        <f>J47*(F48/F46)</f>
        <v>0.35788468800000001</v>
      </c>
      <c r="K48" s="7">
        <f>(1-J48)*K47/(K47+L47)</f>
        <v>0.40076323155450899</v>
      </c>
      <c r="L48" s="8">
        <f>1-(J48+K48)</f>
        <v>0.24135208044549095</v>
      </c>
      <c r="M48" s="7">
        <f t="shared" si="11"/>
        <v>1</v>
      </c>
    </row>
    <row r="49" spans="1:13" x14ac:dyDescent="0.25">
      <c r="A49" s="5" t="s">
        <v>29</v>
      </c>
      <c r="B49" s="5" t="s">
        <v>55</v>
      </c>
      <c r="C49" s="5" t="s">
        <v>41</v>
      </c>
      <c r="D49" s="5" t="s">
        <v>56</v>
      </c>
      <c r="E49" s="9">
        <v>0</v>
      </c>
      <c r="F49" s="9">
        <v>0.05</v>
      </c>
      <c r="G49" s="9">
        <f>F49*dropdown!G$4</f>
        <v>4.5000000000000005E-2</v>
      </c>
      <c r="H49" s="9">
        <f>G49*dropdown!G$5</f>
        <v>4.0500000000000008E-2</v>
      </c>
      <c r="I49" s="9">
        <v>0</v>
      </c>
      <c r="J49" s="9">
        <f>J48*(F49/F46)</f>
        <v>3.5788468800000001E-2</v>
      </c>
      <c r="K49" s="9">
        <f>(1-J49)*K48/(K48+L48)</f>
        <v>0.60179304546133194</v>
      </c>
      <c r="L49" s="10">
        <f>1-(J49+K49)</f>
        <v>0.36241848573866808</v>
      </c>
      <c r="M49" s="9">
        <f t="shared" si="11"/>
        <v>1</v>
      </c>
    </row>
    <row r="50" spans="1:13" x14ac:dyDescent="0.25">
      <c r="A50" s="4" t="s">
        <v>30</v>
      </c>
      <c r="B50" s="4" t="s">
        <v>55</v>
      </c>
      <c r="C50" s="4" t="s">
        <v>36</v>
      </c>
      <c r="D50" s="4" t="s">
        <v>56</v>
      </c>
      <c r="E50" s="7">
        <v>0</v>
      </c>
      <c r="F50" s="7">
        <v>0.5</v>
      </c>
      <c r="G50" s="7">
        <f>F50*dropdown!G$4</f>
        <v>0.45</v>
      </c>
      <c r="H50" s="7">
        <f>G50*dropdown!G$5</f>
        <v>0.40500000000000003</v>
      </c>
      <c r="I50" s="7">
        <v>0</v>
      </c>
      <c r="J50" s="8">
        <v>1</v>
      </c>
      <c r="K50" s="8">
        <v>0</v>
      </c>
      <c r="L50" s="8">
        <v>0</v>
      </c>
      <c r="M50" s="7">
        <f>SUM(I50:L50)</f>
        <v>1</v>
      </c>
    </row>
    <row r="51" spans="1:13" x14ac:dyDescent="0.25">
      <c r="A51" s="4" t="s">
        <v>30</v>
      </c>
      <c r="B51" s="4" t="s">
        <v>55</v>
      </c>
      <c r="C51" s="4" t="s">
        <v>3</v>
      </c>
      <c r="D51" s="4" t="s">
        <v>56</v>
      </c>
      <c r="E51" s="7">
        <v>0</v>
      </c>
      <c r="F51" s="7">
        <v>0.4</v>
      </c>
      <c r="G51" s="7">
        <f>F51*dropdown!G$4</f>
        <v>0.36000000000000004</v>
      </c>
      <c r="H51" s="7">
        <f>G51*dropdown!G$5</f>
        <v>0.32400000000000007</v>
      </c>
      <c r="I51" s="7">
        <v>0</v>
      </c>
      <c r="J51" s="8">
        <v>1</v>
      </c>
      <c r="K51" s="8">
        <v>0</v>
      </c>
      <c r="L51" s="8">
        <v>0</v>
      </c>
      <c r="M51" s="7">
        <f t="shared" ref="M51:M53" si="12">SUM(I51:L51)</f>
        <v>1</v>
      </c>
    </row>
    <row r="52" spans="1:13" x14ac:dyDescent="0.25">
      <c r="A52" s="4" t="s">
        <v>30</v>
      </c>
      <c r="B52" s="4" t="s">
        <v>55</v>
      </c>
      <c r="C52" s="4" t="s">
        <v>39</v>
      </c>
      <c r="D52" s="4" t="s">
        <v>56</v>
      </c>
      <c r="E52" s="7">
        <v>0</v>
      </c>
      <c r="F52" s="7">
        <v>0.3</v>
      </c>
      <c r="G52" s="7">
        <f>F52*dropdown!G$4</f>
        <v>0.27</v>
      </c>
      <c r="H52" s="7">
        <f>G52*dropdown!G$5</f>
        <v>0.24300000000000002</v>
      </c>
      <c r="I52" s="7">
        <v>0</v>
      </c>
      <c r="J52" s="8">
        <v>1</v>
      </c>
      <c r="K52" s="8">
        <v>0</v>
      </c>
      <c r="L52" s="8">
        <v>0</v>
      </c>
      <c r="M52" s="7">
        <f t="shared" si="12"/>
        <v>1</v>
      </c>
    </row>
    <row r="53" spans="1:13" x14ac:dyDescent="0.25">
      <c r="A53" s="5" t="s">
        <v>30</v>
      </c>
      <c r="B53" s="5" t="s">
        <v>55</v>
      </c>
      <c r="C53" s="5" t="s">
        <v>41</v>
      </c>
      <c r="D53" s="5" t="s">
        <v>56</v>
      </c>
      <c r="E53" s="9">
        <v>0</v>
      </c>
      <c r="F53" s="9">
        <v>0.05</v>
      </c>
      <c r="G53" s="9">
        <f>F53*dropdown!G$4</f>
        <v>4.5000000000000005E-2</v>
      </c>
      <c r="H53" s="9">
        <f>G53*dropdown!G$5</f>
        <v>4.0500000000000008E-2</v>
      </c>
      <c r="I53" s="9">
        <v>0</v>
      </c>
      <c r="J53" s="10">
        <v>1</v>
      </c>
      <c r="K53" s="10">
        <v>0</v>
      </c>
      <c r="L53" s="10">
        <v>0</v>
      </c>
      <c r="M53" s="9">
        <f t="shared" si="12"/>
        <v>1</v>
      </c>
    </row>
    <row r="54" spans="1:13" x14ac:dyDescent="0.25">
      <c r="A54" s="4" t="s">
        <v>31</v>
      </c>
      <c r="B54" s="4" t="s">
        <v>55</v>
      </c>
      <c r="C54" s="4" t="s">
        <v>36</v>
      </c>
      <c r="D54" s="4" t="s">
        <v>56</v>
      </c>
      <c r="E54" s="7">
        <v>0</v>
      </c>
      <c r="F54" s="7">
        <v>0.5</v>
      </c>
      <c r="G54" s="7">
        <f>F54*dropdown!G$4</f>
        <v>0.45</v>
      </c>
      <c r="H54" s="7">
        <f>G54*dropdown!G$5</f>
        <v>0.40500000000000003</v>
      </c>
      <c r="I54" s="7">
        <v>0</v>
      </c>
      <c r="J54" s="8">
        <v>1</v>
      </c>
      <c r="K54" s="8">
        <v>0</v>
      </c>
      <c r="L54" s="8">
        <v>0</v>
      </c>
      <c r="M54" s="7">
        <f>SUM(I54:L54)</f>
        <v>1</v>
      </c>
    </row>
    <row r="55" spans="1:13" x14ac:dyDescent="0.25">
      <c r="A55" s="4" t="s">
        <v>31</v>
      </c>
      <c r="B55" s="4" t="s">
        <v>55</v>
      </c>
      <c r="C55" s="4" t="s">
        <v>3</v>
      </c>
      <c r="D55" s="4" t="s">
        <v>56</v>
      </c>
      <c r="E55" s="7">
        <v>0</v>
      </c>
      <c r="F55" s="7">
        <v>0.4</v>
      </c>
      <c r="G55" s="7">
        <f>F55*dropdown!G$4</f>
        <v>0.36000000000000004</v>
      </c>
      <c r="H55" s="7">
        <f>G55*dropdown!G$5</f>
        <v>0.32400000000000007</v>
      </c>
      <c r="I55" s="7">
        <v>0</v>
      </c>
      <c r="J55" s="8">
        <v>1</v>
      </c>
      <c r="K55" s="8">
        <v>0</v>
      </c>
      <c r="L55" s="8">
        <v>0</v>
      </c>
      <c r="M55" s="7">
        <f t="shared" ref="M55:M57" si="13">SUM(I55:L55)</f>
        <v>1</v>
      </c>
    </row>
    <row r="56" spans="1:13" x14ac:dyDescent="0.25">
      <c r="A56" s="4" t="s">
        <v>31</v>
      </c>
      <c r="B56" s="4" t="s">
        <v>55</v>
      </c>
      <c r="C56" s="4" t="s">
        <v>39</v>
      </c>
      <c r="D56" s="4" t="s">
        <v>56</v>
      </c>
      <c r="E56" s="7">
        <v>0</v>
      </c>
      <c r="F56" s="7">
        <v>0.3</v>
      </c>
      <c r="G56" s="7">
        <f>F56*dropdown!G$4</f>
        <v>0.27</v>
      </c>
      <c r="H56" s="7">
        <f>G56*dropdown!G$5</f>
        <v>0.24300000000000002</v>
      </c>
      <c r="I56" s="7">
        <v>0</v>
      </c>
      <c r="J56" s="8">
        <v>1</v>
      </c>
      <c r="K56" s="8">
        <v>0</v>
      </c>
      <c r="L56" s="8">
        <v>0</v>
      </c>
      <c r="M56" s="7">
        <f t="shared" si="13"/>
        <v>1</v>
      </c>
    </row>
    <row r="57" spans="1:13" x14ac:dyDescent="0.25">
      <c r="A57" s="5" t="s">
        <v>31</v>
      </c>
      <c r="B57" s="5" t="s">
        <v>55</v>
      </c>
      <c r="C57" s="5" t="s">
        <v>41</v>
      </c>
      <c r="D57" s="5" t="s">
        <v>56</v>
      </c>
      <c r="E57" s="9">
        <v>0</v>
      </c>
      <c r="F57" s="9">
        <v>0.05</v>
      </c>
      <c r="G57" s="9">
        <f>F57*dropdown!G$4</f>
        <v>4.5000000000000005E-2</v>
      </c>
      <c r="H57" s="9">
        <f>G57*dropdown!G$5</f>
        <v>4.0500000000000008E-2</v>
      </c>
      <c r="I57" s="9">
        <v>0</v>
      </c>
      <c r="J57" s="10">
        <v>1</v>
      </c>
      <c r="K57" s="10">
        <v>0</v>
      </c>
      <c r="L57" s="10">
        <v>0</v>
      </c>
      <c r="M57" s="9">
        <f t="shared" si="13"/>
        <v>1</v>
      </c>
    </row>
    <row r="58" spans="1:13" x14ac:dyDescent="0.25">
      <c r="A58" s="4" t="s">
        <v>32</v>
      </c>
      <c r="B58" s="4" t="s">
        <v>55</v>
      </c>
      <c r="C58" s="4" t="s">
        <v>36</v>
      </c>
      <c r="D58" s="4" t="s">
        <v>56</v>
      </c>
      <c r="E58" s="7">
        <v>0</v>
      </c>
      <c r="F58" s="7">
        <v>0.5</v>
      </c>
      <c r="G58" s="7">
        <f>F58*dropdown!G$4</f>
        <v>0.45</v>
      </c>
      <c r="H58" s="7">
        <f>G58*dropdown!G$5</f>
        <v>0.40500000000000003</v>
      </c>
      <c r="I58" s="7">
        <v>0</v>
      </c>
      <c r="J58" s="8">
        <v>0.26710149999999999</v>
      </c>
      <c r="K58" s="8">
        <v>0.21189949999999999</v>
      </c>
      <c r="L58" s="8">
        <v>0.52099905000000002</v>
      </c>
      <c r="M58" s="7">
        <f>SUM(I58:L58)</f>
        <v>1.0000000500000001</v>
      </c>
    </row>
    <row r="59" spans="1:13" x14ac:dyDescent="0.25">
      <c r="A59" s="4" t="s">
        <v>32</v>
      </c>
      <c r="B59" s="4" t="s">
        <v>55</v>
      </c>
      <c r="C59" s="4" t="s">
        <v>3</v>
      </c>
      <c r="D59" s="4" t="s">
        <v>56</v>
      </c>
      <c r="E59" s="7">
        <v>0</v>
      </c>
      <c r="F59" s="7">
        <v>0.4</v>
      </c>
      <c r="G59" s="7">
        <f>F59*dropdown!G$4</f>
        <v>0.36000000000000004</v>
      </c>
      <c r="H59" s="7">
        <f>G59*dropdown!G$5</f>
        <v>0.32400000000000007</v>
      </c>
      <c r="I59" s="7">
        <v>0</v>
      </c>
      <c r="J59" s="7">
        <v>0.2</v>
      </c>
      <c r="K59" s="7">
        <v>0.2</v>
      </c>
      <c r="L59" s="7">
        <v>0.6</v>
      </c>
      <c r="M59" s="7">
        <f t="shared" ref="M59:M61" si="14">SUM(I59:L59)</f>
        <v>1</v>
      </c>
    </row>
    <row r="60" spans="1:13" x14ac:dyDescent="0.25">
      <c r="A60" s="4" t="s">
        <v>32</v>
      </c>
      <c r="B60" s="4" t="s">
        <v>55</v>
      </c>
      <c r="C60" s="4" t="s">
        <v>39</v>
      </c>
      <c r="D60" s="4" t="s">
        <v>56</v>
      </c>
      <c r="E60" s="7">
        <v>0</v>
      </c>
      <c r="F60" s="7">
        <v>0.3</v>
      </c>
      <c r="G60" s="7">
        <f>F60*dropdown!G$4</f>
        <v>0.27</v>
      </c>
      <c r="H60" s="7">
        <f>G60*dropdown!G$5</f>
        <v>0.24300000000000002</v>
      </c>
      <c r="I60" s="7">
        <v>0</v>
      </c>
      <c r="J60" s="7">
        <v>0.15</v>
      </c>
      <c r="K60" s="7">
        <v>0.15</v>
      </c>
      <c r="L60" s="7">
        <v>0.7</v>
      </c>
      <c r="M60" s="7">
        <f t="shared" si="14"/>
        <v>1</v>
      </c>
    </row>
    <row r="61" spans="1:13" x14ac:dyDescent="0.25">
      <c r="A61" s="5" t="s">
        <v>32</v>
      </c>
      <c r="B61" s="5" t="s">
        <v>55</v>
      </c>
      <c r="C61" s="5" t="s">
        <v>41</v>
      </c>
      <c r="D61" s="5" t="s">
        <v>56</v>
      </c>
      <c r="E61" s="9">
        <v>0</v>
      </c>
      <c r="F61" s="9">
        <v>0.05</v>
      </c>
      <c r="G61" s="9">
        <f>F61*dropdown!G$4</f>
        <v>4.5000000000000005E-2</v>
      </c>
      <c r="H61" s="9">
        <f>G61*dropdown!G$5</f>
        <v>4.0500000000000008E-2</v>
      </c>
      <c r="I61" s="9">
        <v>0</v>
      </c>
      <c r="J61" s="9">
        <v>0.05</v>
      </c>
      <c r="K61" s="9">
        <v>0.15</v>
      </c>
      <c r="L61" s="9">
        <v>0.8</v>
      </c>
      <c r="M61" s="9">
        <f t="shared" si="14"/>
        <v>1</v>
      </c>
    </row>
    <row r="62" spans="1:13" x14ac:dyDescent="0.25">
      <c r="A62" s="4" t="s">
        <v>33</v>
      </c>
      <c r="B62" s="4" t="s">
        <v>55</v>
      </c>
      <c r="C62" s="4" t="s">
        <v>36</v>
      </c>
      <c r="D62" s="4" t="s">
        <v>56</v>
      </c>
      <c r="E62" s="7">
        <v>0</v>
      </c>
      <c r="F62" s="7">
        <v>0.5</v>
      </c>
      <c r="G62" s="7">
        <f>F62*dropdown!G$4</f>
        <v>0.45</v>
      </c>
      <c r="H62" s="7">
        <f>G62*dropdown!G$5</f>
        <v>0.40500000000000003</v>
      </c>
      <c r="I62" s="7">
        <v>0</v>
      </c>
      <c r="J62" s="8">
        <v>1</v>
      </c>
      <c r="K62" s="8">
        <v>0</v>
      </c>
      <c r="L62" s="8">
        <v>0</v>
      </c>
      <c r="M62" s="7">
        <f>SUM(I62:L62)</f>
        <v>1</v>
      </c>
    </row>
    <row r="63" spans="1:13" x14ac:dyDescent="0.25">
      <c r="A63" s="4" t="s">
        <v>33</v>
      </c>
      <c r="B63" s="4" t="s">
        <v>55</v>
      </c>
      <c r="C63" s="4" t="s">
        <v>3</v>
      </c>
      <c r="D63" s="4" t="s">
        <v>56</v>
      </c>
      <c r="E63" s="7">
        <v>0</v>
      </c>
      <c r="F63" s="7">
        <v>0.4</v>
      </c>
      <c r="G63" s="7">
        <f>F63*dropdown!G$4</f>
        <v>0.36000000000000004</v>
      </c>
      <c r="H63" s="7">
        <f>G63*dropdown!G$5</f>
        <v>0.32400000000000007</v>
      </c>
      <c r="I63" s="7">
        <v>0</v>
      </c>
      <c r="J63" s="8">
        <v>1</v>
      </c>
      <c r="K63" s="8">
        <v>0</v>
      </c>
      <c r="L63" s="8">
        <v>0</v>
      </c>
      <c r="M63" s="7">
        <f t="shared" ref="M63:M65" si="15">SUM(I63:L63)</f>
        <v>1</v>
      </c>
    </row>
    <row r="64" spans="1:13" x14ac:dyDescent="0.25">
      <c r="A64" s="4" t="s">
        <v>33</v>
      </c>
      <c r="B64" s="4" t="s">
        <v>55</v>
      </c>
      <c r="C64" s="4" t="s">
        <v>39</v>
      </c>
      <c r="D64" s="4" t="s">
        <v>56</v>
      </c>
      <c r="E64" s="7">
        <v>0</v>
      </c>
      <c r="F64" s="7">
        <v>0.3</v>
      </c>
      <c r="G64" s="7">
        <f>F64*dropdown!G$4</f>
        <v>0.27</v>
      </c>
      <c r="H64" s="7">
        <f>G64*dropdown!G$5</f>
        <v>0.24300000000000002</v>
      </c>
      <c r="I64" s="7">
        <v>0</v>
      </c>
      <c r="J64" s="8">
        <v>1</v>
      </c>
      <c r="K64" s="8">
        <v>0</v>
      </c>
      <c r="L64" s="8">
        <v>0</v>
      </c>
      <c r="M64" s="7">
        <f t="shared" si="15"/>
        <v>1</v>
      </c>
    </row>
    <row r="65" spans="1:13" x14ac:dyDescent="0.25">
      <c r="A65" s="5" t="s">
        <v>33</v>
      </c>
      <c r="B65" s="5" t="s">
        <v>55</v>
      </c>
      <c r="C65" s="5" t="s">
        <v>41</v>
      </c>
      <c r="D65" s="5" t="s">
        <v>56</v>
      </c>
      <c r="E65" s="9">
        <v>0</v>
      </c>
      <c r="F65" s="9">
        <v>0.05</v>
      </c>
      <c r="G65" s="9">
        <f>F65*dropdown!G$4</f>
        <v>4.5000000000000005E-2</v>
      </c>
      <c r="H65" s="9">
        <f>G65*dropdown!G$5</f>
        <v>4.0500000000000008E-2</v>
      </c>
      <c r="I65" s="9">
        <v>0</v>
      </c>
      <c r="J65" s="10">
        <v>1</v>
      </c>
      <c r="K65" s="10">
        <v>0</v>
      </c>
      <c r="L65" s="10">
        <v>0</v>
      </c>
      <c r="M65" s="9">
        <f t="shared" si="15"/>
        <v>1</v>
      </c>
    </row>
  </sheetData>
  <sheetProtection algorithmName="SHA-512" hashValue="qgpPmXSEx7itJw48o+ofdyoLMh7u4duylkf6FQ4JAt4n2vN8J3ILjdud4CpNMxZsRF0uS4EjdSuWMNh8RAERlg==" saltValue="DnQhgKiaXS0WqLjXF9SCng==" spinCount="100000" sheet="1" objects="1" scenarios="1"/>
  <autoFilter ref="A1:M65" xr:uid="{23A6E198-D135-4AF2-9D71-D6DD7D023CE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3148-32FB-444C-BF27-D6F44566E302}">
  <dimension ref="A1:M65"/>
  <sheetViews>
    <sheetView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33" bestFit="1" customWidth="1" collapsed="1"/>
    <col min="13" max="13" width="9.140625" style="28"/>
  </cols>
  <sheetData>
    <row r="1" spans="1:13" ht="15.75" thickBot="1" x14ac:dyDescent="0.3">
      <c r="A1" s="6" t="s">
        <v>4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  <c r="J1" s="6" t="s">
        <v>51</v>
      </c>
      <c r="K1" s="6" t="s">
        <v>52</v>
      </c>
      <c r="L1" s="6" t="s">
        <v>53</v>
      </c>
      <c r="M1" s="25" t="s">
        <v>54</v>
      </c>
    </row>
    <row r="2" spans="1:13" x14ac:dyDescent="0.25">
      <c r="A2" s="4" t="s">
        <v>12</v>
      </c>
      <c r="B2" s="4" t="s">
        <v>57</v>
      </c>
      <c r="C2" s="4" t="s">
        <v>36</v>
      </c>
      <c r="D2" s="4" t="s">
        <v>58</v>
      </c>
      <c r="E2" s="7">
        <v>0</v>
      </c>
      <c r="F2" s="7">
        <v>0.8</v>
      </c>
      <c r="G2" s="7">
        <f>F2*dropdown!G$4</f>
        <v>0.72000000000000008</v>
      </c>
      <c r="H2" s="7">
        <f>G2*dropdown!G$5</f>
        <v>0.64800000000000013</v>
      </c>
      <c r="I2" s="7">
        <v>0</v>
      </c>
      <c r="J2" s="8">
        <v>1</v>
      </c>
      <c r="K2" s="8">
        <v>0</v>
      </c>
      <c r="L2" s="8">
        <v>0</v>
      </c>
      <c r="M2" s="26">
        <f t="shared" ref="M2:M5" si="0">SUM(I2:L2)</f>
        <v>1</v>
      </c>
    </row>
    <row r="3" spans="1:13" x14ac:dyDescent="0.25">
      <c r="A3" s="4" t="s">
        <v>12</v>
      </c>
      <c r="B3" s="4" t="s">
        <v>57</v>
      </c>
      <c r="C3" s="4" t="s">
        <v>3</v>
      </c>
      <c r="D3" s="4" t="s">
        <v>58</v>
      </c>
      <c r="E3" s="7">
        <v>0</v>
      </c>
      <c r="F3" s="7">
        <v>0.8</v>
      </c>
      <c r="G3" s="7">
        <f>F3*dropdown!G$4</f>
        <v>0.72000000000000008</v>
      </c>
      <c r="H3" s="7">
        <f>G3*dropdown!G$5</f>
        <v>0.64800000000000013</v>
      </c>
      <c r="I3" s="7">
        <v>0</v>
      </c>
      <c r="J3" s="8">
        <v>1</v>
      </c>
      <c r="K3" s="8">
        <v>0</v>
      </c>
      <c r="L3" s="8">
        <v>0</v>
      </c>
      <c r="M3" s="26">
        <f t="shared" si="0"/>
        <v>1</v>
      </c>
    </row>
    <row r="4" spans="1:13" x14ac:dyDescent="0.25">
      <c r="A4" s="4" t="s">
        <v>12</v>
      </c>
      <c r="B4" s="4" t="s">
        <v>57</v>
      </c>
      <c r="C4" s="4" t="s">
        <v>39</v>
      </c>
      <c r="D4" s="4" t="s">
        <v>58</v>
      </c>
      <c r="E4" s="7">
        <v>0</v>
      </c>
      <c r="F4" s="7">
        <v>0.8</v>
      </c>
      <c r="G4" s="7">
        <f>F4*dropdown!G$4</f>
        <v>0.72000000000000008</v>
      </c>
      <c r="H4" s="7">
        <f>G4*dropdown!G$5</f>
        <v>0.64800000000000013</v>
      </c>
      <c r="I4" s="7">
        <v>0</v>
      </c>
      <c r="J4" s="8">
        <v>1</v>
      </c>
      <c r="K4" s="8">
        <v>0</v>
      </c>
      <c r="L4" s="8">
        <v>0</v>
      </c>
      <c r="M4" s="26">
        <f t="shared" si="0"/>
        <v>1</v>
      </c>
    </row>
    <row r="5" spans="1:13" x14ac:dyDescent="0.25">
      <c r="A5" s="5" t="s">
        <v>12</v>
      </c>
      <c r="B5" s="5" t="s">
        <v>57</v>
      </c>
      <c r="C5" s="5" t="s">
        <v>41</v>
      </c>
      <c r="D5" s="5" t="s">
        <v>58</v>
      </c>
      <c r="E5" s="9">
        <v>0</v>
      </c>
      <c r="F5" s="9">
        <v>0.8</v>
      </c>
      <c r="G5" s="9">
        <f>F5*dropdown!G$4</f>
        <v>0.72000000000000008</v>
      </c>
      <c r="H5" s="9">
        <f>G5*dropdown!G$5</f>
        <v>0.64800000000000013</v>
      </c>
      <c r="I5" s="9">
        <v>0</v>
      </c>
      <c r="J5" s="10">
        <v>1</v>
      </c>
      <c r="K5" s="10">
        <v>0</v>
      </c>
      <c r="L5" s="10">
        <v>0</v>
      </c>
      <c r="M5" s="27">
        <f t="shared" si="0"/>
        <v>1</v>
      </c>
    </row>
    <row r="6" spans="1:13" x14ac:dyDescent="0.25">
      <c r="A6" s="4" t="s">
        <v>19</v>
      </c>
      <c r="B6" s="4" t="s">
        <v>57</v>
      </c>
      <c r="C6" s="4" t="s">
        <v>36</v>
      </c>
      <c r="D6" s="4" t="s">
        <v>58</v>
      </c>
      <c r="E6" s="7">
        <f>dropdown!G$2</f>
        <v>0.8</v>
      </c>
      <c r="F6" s="7">
        <f>E6*dropdown!G$4</f>
        <v>0.72000000000000008</v>
      </c>
      <c r="G6" s="7">
        <f>F6*dropdown!G$4</f>
        <v>0.64800000000000013</v>
      </c>
      <c r="H6" s="7">
        <f>G6*dropdown!G$5</f>
        <v>0.58320000000000016</v>
      </c>
      <c r="I6" s="11"/>
      <c r="J6" s="4"/>
      <c r="K6" s="4"/>
      <c r="L6" s="4"/>
    </row>
    <row r="7" spans="1:13" x14ac:dyDescent="0.25">
      <c r="A7" s="4" t="s">
        <v>19</v>
      </c>
      <c r="B7" s="4" t="s">
        <v>57</v>
      </c>
      <c r="C7" s="4" t="s">
        <v>3</v>
      </c>
      <c r="D7" s="4" t="s">
        <v>58</v>
      </c>
      <c r="E7" s="7">
        <f>dropdown!G$2</f>
        <v>0.8</v>
      </c>
      <c r="F7" s="7">
        <f>E7*dropdown!G$4</f>
        <v>0.72000000000000008</v>
      </c>
      <c r="G7" s="7">
        <f>F7*dropdown!G$4</f>
        <v>0.64800000000000013</v>
      </c>
      <c r="H7" s="7">
        <f>G7*dropdown!G$5</f>
        <v>0.58320000000000016</v>
      </c>
      <c r="I7" s="11"/>
      <c r="J7" s="4"/>
      <c r="K7" s="4"/>
      <c r="L7" s="4"/>
    </row>
    <row r="8" spans="1:13" x14ac:dyDescent="0.25">
      <c r="A8" s="4" t="s">
        <v>19</v>
      </c>
      <c r="B8" s="4" t="s">
        <v>57</v>
      </c>
      <c r="C8" s="4" t="s">
        <v>39</v>
      </c>
      <c r="D8" s="4" t="s">
        <v>58</v>
      </c>
      <c r="E8" s="7">
        <f>dropdown!G$2</f>
        <v>0.8</v>
      </c>
      <c r="F8" s="7">
        <f>E8*dropdown!G$4</f>
        <v>0.72000000000000008</v>
      </c>
      <c r="G8" s="7">
        <f>F8*dropdown!G$4</f>
        <v>0.64800000000000013</v>
      </c>
      <c r="H8" s="7">
        <f>G8*dropdown!G$5</f>
        <v>0.58320000000000016</v>
      </c>
      <c r="I8" s="11"/>
      <c r="J8" s="4"/>
      <c r="K8" s="4"/>
      <c r="L8" s="4"/>
    </row>
    <row r="9" spans="1:13" x14ac:dyDescent="0.25">
      <c r="A9" s="5" t="s">
        <v>19</v>
      </c>
      <c r="B9" s="5" t="s">
        <v>57</v>
      </c>
      <c r="C9" s="5" t="s">
        <v>41</v>
      </c>
      <c r="D9" s="5" t="s">
        <v>58</v>
      </c>
      <c r="E9" s="9">
        <f>dropdown!G$2</f>
        <v>0.8</v>
      </c>
      <c r="F9" s="9">
        <f>E9*dropdown!G$4</f>
        <v>0.72000000000000008</v>
      </c>
      <c r="G9" s="9">
        <f>F9*dropdown!G$4</f>
        <v>0.64800000000000013</v>
      </c>
      <c r="H9" s="9">
        <f>G9*dropdown!G$5</f>
        <v>0.58320000000000016</v>
      </c>
      <c r="I9" s="12"/>
      <c r="J9" s="5"/>
      <c r="K9" s="5"/>
      <c r="L9" s="5"/>
      <c r="M9" s="29"/>
    </row>
    <row r="10" spans="1:13" x14ac:dyDescent="0.25">
      <c r="A10" s="4" t="s">
        <v>20</v>
      </c>
      <c r="B10" s="4" t="s">
        <v>57</v>
      </c>
      <c r="C10" s="4" t="s">
        <v>36</v>
      </c>
      <c r="D10" s="4" t="s">
        <v>58</v>
      </c>
      <c r="E10" s="7">
        <f>dropdown!G$2</f>
        <v>0.8</v>
      </c>
      <c r="F10" s="7">
        <f>E10*dropdown!G$4</f>
        <v>0.72000000000000008</v>
      </c>
      <c r="G10" s="7">
        <f>F10*dropdown!G$4</f>
        <v>0.64800000000000013</v>
      </c>
      <c r="H10" s="7">
        <f>G10*dropdown!G$5</f>
        <v>0.58320000000000016</v>
      </c>
      <c r="I10" s="11"/>
      <c r="J10" s="11"/>
      <c r="K10" s="11"/>
      <c r="L10" s="11"/>
    </row>
    <row r="11" spans="1:13" x14ac:dyDescent="0.25">
      <c r="A11" s="4" t="s">
        <v>20</v>
      </c>
      <c r="B11" s="4" t="s">
        <v>57</v>
      </c>
      <c r="C11" s="4" t="s">
        <v>3</v>
      </c>
      <c r="D11" s="4" t="s">
        <v>58</v>
      </c>
      <c r="E11" s="7">
        <f>dropdown!G$2</f>
        <v>0.8</v>
      </c>
      <c r="F11" s="7">
        <f>E11*dropdown!G$4</f>
        <v>0.72000000000000008</v>
      </c>
      <c r="G11" s="7">
        <f>F11*dropdown!G$4</f>
        <v>0.64800000000000013</v>
      </c>
      <c r="H11" s="7">
        <f>G11*dropdown!G$5</f>
        <v>0.58320000000000016</v>
      </c>
      <c r="I11" s="11"/>
      <c r="J11" s="11"/>
      <c r="K11" s="11"/>
      <c r="L11" s="11"/>
    </row>
    <row r="12" spans="1:13" x14ac:dyDescent="0.25">
      <c r="A12" s="4" t="s">
        <v>20</v>
      </c>
      <c r="B12" s="4" t="s">
        <v>57</v>
      </c>
      <c r="C12" s="4" t="s">
        <v>39</v>
      </c>
      <c r="D12" s="4" t="s">
        <v>58</v>
      </c>
      <c r="E12" s="7">
        <f>dropdown!G$2</f>
        <v>0.8</v>
      </c>
      <c r="F12" s="7">
        <f>E12*dropdown!G$4</f>
        <v>0.72000000000000008</v>
      </c>
      <c r="G12" s="7">
        <f>F12*dropdown!G$4</f>
        <v>0.64800000000000013</v>
      </c>
      <c r="H12" s="7">
        <f>G12*dropdown!G$5</f>
        <v>0.58320000000000016</v>
      </c>
      <c r="I12" s="11"/>
      <c r="J12" s="11"/>
      <c r="K12" s="11"/>
      <c r="L12" s="11"/>
    </row>
    <row r="13" spans="1:13" x14ac:dyDescent="0.25">
      <c r="A13" s="5" t="s">
        <v>20</v>
      </c>
      <c r="B13" s="5" t="s">
        <v>57</v>
      </c>
      <c r="C13" s="5" t="s">
        <v>41</v>
      </c>
      <c r="D13" s="5" t="s">
        <v>58</v>
      </c>
      <c r="E13" s="9">
        <f>dropdown!G$2</f>
        <v>0.8</v>
      </c>
      <c r="F13" s="9">
        <f>E13*dropdown!G$4</f>
        <v>0.72000000000000008</v>
      </c>
      <c r="G13" s="9">
        <f>F13*dropdown!G$4</f>
        <v>0.64800000000000013</v>
      </c>
      <c r="H13" s="9">
        <f>G13*dropdown!G$5</f>
        <v>0.58320000000000016</v>
      </c>
      <c r="I13" s="12"/>
      <c r="J13" s="12"/>
      <c r="K13" s="12"/>
      <c r="L13" s="12"/>
      <c r="M13" s="29"/>
    </row>
    <row r="14" spans="1:13" x14ac:dyDescent="0.25">
      <c r="A14" s="4" t="s">
        <v>21</v>
      </c>
      <c r="B14" s="4" t="s">
        <v>57</v>
      </c>
      <c r="C14" s="4" t="s">
        <v>36</v>
      </c>
      <c r="D14" s="4" t="s">
        <v>58</v>
      </c>
      <c r="E14" s="7">
        <f>dropdown!G$2</f>
        <v>0.8</v>
      </c>
      <c r="F14" s="7">
        <f>E14*dropdown!G$4</f>
        <v>0.72000000000000008</v>
      </c>
      <c r="G14" s="7">
        <f>F14*dropdown!G$4</f>
        <v>0.64800000000000013</v>
      </c>
      <c r="H14" s="7">
        <f>G14*dropdown!G$5</f>
        <v>0.58320000000000016</v>
      </c>
      <c r="I14" s="11"/>
      <c r="J14" s="11"/>
      <c r="K14" s="11"/>
      <c r="L14" s="11"/>
    </row>
    <row r="15" spans="1:13" x14ac:dyDescent="0.25">
      <c r="A15" s="4" t="s">
        <v>21</v>
      </c>
      <c r="B15" s="4" t="s">
        <v>57</v>
      </c>
      <c r="C15" s="4" t="s">
        <v>3</v>
      </c>
      <c r="D15" s="4" t="s">
        <v>58</v>
      </c>
      <c r="E15" s="7">
        <f>dropdown!G$2</f>
        <v>0.8</v>
      </c>
      <c r="F15" s="7">
        <f>E15*dropdown!G$4</f>
        <v>0.72000000000000008</v>
      </c>
      <c r="G15" s="7">
        <f>F15*dropdown!G$4</f>
        <v>0.64800000000000013</v>
      </c>
      <c r="H15" s="7">
        <f>G15*dropdown!G$5</f>
        <v>0.58320000000000016</v>
      </c>
      <c r="I15" s="11"/>
      <c r="J15" s="11"/>
      <c r="K15" s="11"/>
      <c r="L15" s="11"/>
    </row>
    <row r="16" spans="1:13" x14ac:dyDescent="0.25">
      <c r="A16" s="4" t="s">
        <v>21</v>
      </c>
      <c r="B16" s="4" t="s">
        <v>57</v>
      </c>
      <c r="C16" s="4" t="s">
        <v>39</v>
      </c>
      <c r="D16" s="4" t="s">
        <v>58</v>
      </c>
      <c r="E16" s="7">
        <f>dropdown!G$2</f>
        <v>0.8</v>
      </c>
      <c r="F16" s="7">
        <f>E16*dropdown!G$4</f>
        <v>0.72000000000000008</v>
      </c>
      <c r="G16" s="7">
        <f>F16*dropdown!G$4</f>
        <v>0.64800000000000013</v>
      </c>
      <c r="H16" s="7">
        <f>G16*dropdown!G$5</f>
        <v>0.58320000000000016</v>
      </c>
      <c r="I16" s="11"/>
      <c r="J16" s="11"/>
      <c r="K16" s="11"/>
      <c r="L16" s="11"/>
    </row>
    <row r="17" spans="1:13" x14ac:dyDescent="0.25">
      <c r="A17" s="5" t="s">
        <v>21</v>
      </c>
      <c r="B17" s="5" t="s">
        <v>57</v>
      </c>
      <c r="C17" s="5" t="s">
        <v>41</v>
      </c>
      <c r="D17" s="5" t="s">
        <v>58</v>
      </c>
      <c r="E17" s="9">
        <f>dropdown!G$2</f>
        <v>0.8</v>
      </c>
      <c r="F17" s="9">
        <f>E17*dropdown!G$4</f>
        <v>0.72000000000000008</v>
      </c>
      <c r="G17" s="9">
        <f>F17*dropdown!G$4</f>
        <v>0.64800000000000013</v>
      </c>
      <c r="H17" s="9">
        <f>G17*dropdown!G$5</f>
        <v>0.58320000000000016</v>
      </c>
      <c r="I17" s="12"/>
      <c r="J17" s="12"/>
      <c r="K17" s="12"/>
      <c r="L17" s="12"/>
      <c r="M17" s="29"/>
    </row>
    <row r="18" spans="1:13" x14ac:dyDescent="0.25">
      <c r="A18" s="4" t="s">
        <v>22</v>
      </c>
      <c r="B18" s="4" t="s">
        <v>57</v>
      </c>
      <c r="C18" s="4" t="s">
        <v>36</v>
      </c>
      <c r="D18" s="4" t="s">
        <v>58</v>
      </c>
      <c r="E18" s="7">
        <v>0</v>
      </c>
      <c r="F18" s="7">
        <v>0.8</v>
      </c>
      <c r="G18" s="7">
        <f>F18*dropdown!G$4</f>
        <v>0.72000000000000008</v>
      </c>
      <c r="H18" s="7">
        <f>G18*dropdown!G$5</f>
        <v>0.64800000000000013</v>
      </c>
      <c r="I18" s="7">
        <v>0</v>
      </c>
      <c r="J18" s="8">
        <v>1</v>
      </c>
      <c r="K18" s="8">
        <v>0</v>
      </c>
      <c r="L18" s="8">
        <v>0</v>
      </c>
      <c r="M18" s="26">
        <f t="shared" ref="M18:M21" si="1">SUM(I18:L18)</f>
        <v>1</v>
      </c>
    </row>
    <row r="19" spans="1:13" x14ac:dyDescent="0.25">
      <c r="A19" s="4" t="s">
        <v>22</v>
      </c>
      <c r="B19" s="4" t="s">
        <v>57</v>
      </c>
      <c r="C19" s="4" t="s">
        <v>3</v>
      </c>
      <c r="D19" s="4" t="s">
        <v>58</v>
      </c>
      <c r="E19" s="7">
        <v>0</v>
      </c>
      <c r="F19" s="7">
        <v>0.8</v>
      </c>
      <c r="G19" s="7">
        <f>F19*dropdown!G$4</f>
        <v>0.72000000000000008</v>
      </c>
      <c r="H19" s="7">
        <f>G19*dropdown!G$5</f>
        <v>0.64800000000000013</v>
      </c>
      <c r="I19" s="7">
        <v>0</v>
      </c>
      <c r="J19" s="8">
        <v>1</v>
      </c>
      <c r="K19" s="8">
        <v>0</v>
      </c>
      <c r="L19" s="8">
        <v>0</v>
      </c>
      <c r="M19" s="26">
        <f t="shared" si="1"/>
        <v>1</v>
      </c>
    </row>
    <row r="20" spans="1:13" x14ac:dyDescent="0.25">
      <c r="A20" s="4" t="s">
        <v>22</v>
      </c>
      <c r="B20" s="4" t="s">
        <v>57</v>
      </c>
      <c r="C20" s="4" t="s">
        <v>39</v>
      </c>
      <c r="D20" s="4" t="s">
        <v>58</v>
      </c>
      <c r="E20" s="7">
        <v>0</v>
      </c>
      <c r="F20" s="7">
        <v>0.8</v>
      </c>
      <c r="G20" s="7">
        <f>F20*dropdown!G$4</f>
        <v>0.72000000000000008</v>
      </c>
      <c r="H20" s="7">
        <f>G20*dropdown!G$5</f>
        <v>0.64800000000000013</v>
      </c>
      <c r="I20" s="7">
        <v>0</v>
      </c>
      <c r="J20" s="8">
        <v>1</v>
      </c>
      <c r="K20" s="8">
        <v>0</v>
      </c>
      <c r="L20" s="8">
        <v>0</v>
      </c>
      <c r="M20" s="26">
        <f t="shared" si="1"/>
        <v>1</v>
      </c>
    </row>
    <row r="21" spans="1:13" x14ac:dyDescent="0.25">
      <c r="A21" s="5" t="s">
        <v>22</v>
      </c>
      <c r="B21" s="5" t="s">
        <v>57</v>
      </c>
      <c r="C21" s="5" t="s">
        <v>41</v>
      </c>
      <c r="D21" s="5" t="s">
        <v>58</v>
      </c>
      <c r="E21" s="9">
        <v>0</v>
      </c>
      <c r="F21" s="9">
        <v>0.8</v>
      </c>
      <c r="G21" s="9">
        <f>F21*dropdown!G$4</f>
        <v>0.72000000000000008</v>
      </c>
      <c r="H21" s="9">
        <f>G21*dropdown!G$5</f>
        <v>0.64800000000000013</v>
      </c>
      <c r="I21" s="9">
        <v>0</v>
      </c>
      <c r="J21" s="10">
        <v>1</v>
      </c>
      <c r="K21" s="10">
        <v>0</v>
      </c>
      <c r="L21" s="10">
        <v>0</v>
      </c>
      <c r="M21" s="27">
        <f t="shared" si="1"/>
        <v>1</v>
      </c>
    </row>
    <row r="22" spans="1:13" x14ac:dyDescent="0.25">
      <c r="A22" s="4" t="s">
        <v>23</v>
      </c>
      <c r="B22" s="4" t="s">
        <v>57</v>
      </c>
      <c r="C22" s="4" t="s">
        <v>36</v>
      </c>
      <c r="D22" s="4" t="s">
        <v>58</v>
      </c>
      <c r="E22" s="7">
        <v>0</v>
      </c>
      <c r="F22" s="7">
        <v>0.8</v>
      </c>
      <c r="G22" s="7">
        <f>F22*dropdown!G$4</f>
        <v>0.72000000000000008</v>
      </c>
      <c r="H22" s="7">
        <f>G22*dropdown!G$5</f>
        <v>0.64800000000000013</v>
      </c>
      <c r="I22" s="7">
        <v>0</v>
      </c>
      <c r="J22" s="8">
        <v>1</v>
      </c>
      <c r="K22" s="8">
        <v>0</v>
      </c>
      <c r="L22" s="8">
        <v>0</v>
      </c>
      <c r="M22" s="26">
        <f t="shared" ref="M22:M25" si="2">SUM(I22:L22)</f>
        <v>1</v>
      </c>
    </row>
    <row r="23" spans="1:13" x14ac:dyDescent="0.25">
      <c r="A23" s="4" t="s">
        <v>23</v>
      </c>
      <c r="B23" s="4" t="s">
        <v>57</v>
      </c>
      <c r="C23" s="4" t="s">
        <v>3</v>
      </c>
      <c r="D23" s="4" t="s">
        <v>58</v>
      </c>
      <c r="E23" s="7">
        <v>0</v>
      </c>
      <c r="F23" s="7">
        <v>0.8</v>
      </c>
      <c r="G23" s="7">
        <f>F23*dropdown!G$4</f>
        <v>0.72000000000000008</v>
      </c>
      <c r="H23" s="7">
        <f>G23*dropdown!G$5</f>
        <v>0.64800000000000013</v>
      </c>
      <c r="I23" s="7">
        <v>0</v>
      </c>
      <c r="J23" s="8">
        <v>1</v>
      </c>
      <c r="K23" s="8">
        <v>0</v>
      </c>
      <c r="L23" s="8">
        <v>0</v>
      </c>
      <c r="M23" s="26">
        <f t="shared" si="2"/>
        <v>1</v>
      </c>
    </row>
    <row r="24" spans="1:13" x14ac:dyDescent="0.25">
      <c r="A24" s="4" t="s">
        <v>23</v>
      </c>
      <c r="B24" s="4" t="s">
        <v>57</v>
      </c>
      <c r="C24" s="4" t="s">
        <v>39</v>
      </c>
      <c r="D24" s="4" t="s">
        <v>58</v>
      </c>
      <c r="E24" s="7">
        <v>0</v>
      </c>
      <c r="F24" s="7">
        <v>0.8</v>
      </c>
      <c r="G24" s="7">
        <f>F24*dropdown!G$4</f>
        <v>0.72000000000000008</v>
      </c>
      <c r="H24" s="7">
        <f>G24*dropdown!G$5</f>
        <v>0.64800000000000013</v>
      </c>
      <c r="I24" s="7">
        <v>0</v>
      </c>
      <c r="J24" s="8">
        <v>1</v>
      </c>
      <c r="K24" s="8">
        <v>0</v>
      </c>
      <c r="L24" s="8">
        <v>0</v>
      </c>
      <c r="M24" s="26">
        <f t="shared" si="2"/>
        <v>1</v>
      </c>
    </row>
    <row r="25" spans="1:13" x14ac:dyDescent="0.25">
      <c r="A25" s="5" t="s">
        <v>23</v>
      </c>
      <c r="B25" s="5" t="s">
        <v>57</v>
      </c>
      <c r="C25" s="5" t="s">
        <v>41</v>
      </c>
      <c r="D25" s="5" t="s">
        <v>58</v>
      </c>
      <c r="E25" s="9">
        <v>0</v>
      </c>
      <c r="F25" s="9">
        <v>0.8</v>
      </c>
      <c r="G25" s="9">
        <f>F25*dropdown!G$4</f>
        <v>0.72000000000000008</v>
      </c>
      <c r="H25" s="9">
        <f>G25*dropdown!G$5</f>
        <v>0.64800000000000013</v>
      </c>
      <c r="I25" s="9">
        <v>0</v>
      </c>
      <c r="J25" s="10">
        <v>1</v>
      </c>
      <c r="K25" s="10">
        <v>0</v>
      </c>
      <c r="L25" s="10">
        <v>0</v>
      </c>
      <c r="M25" s="27">
        <f t="shared" si="2"/>
        <v>1</v>
      </c>
    </row>
    <row r="26" spans="1:13" x14ac:dyDescent="0.25">
      <c r="A26" s="4" t="s">
        <v>24</v>
      </c>
      <c r="B26" s="4" t="s">
        <v>57</v>
      </c>
      <c r="C26" s="4" t="s">
        <v>36</v>
      </c>
      <c r="D26" s="4" t="s">
        <v>58</v>
      </c>
      <c r="E26" s="7">
        <v>0</v>
      </c>
      <c r="F26" s="7">
        <v>0.8</v>
      </c>
      <c r="G26" s="7">
        <f>F26*dropdown!G$4</f>
        <v>0.72000000000000008</v>
      </c>
      <c r="H26" s="7">
        <f>G26*dropdown!G$5</f>
        <v>0.64800000000000013</v>
      </c>
      <c r="I26" s="7">
        <v>0</v>
      </c>
      <c r="J26" s="8">
        <v>1</v>
      </c>
      <c r="K26" s="8">
        <v>0</v>
      </c>
      <c r="L26" s="8">
        <v>0</v>
      </c>
      <c r="M26" s="26">
        <f t="shared" ref="M26:M29" si="3">SUM(I26:L26)</f>
        <v>1</v>
      </c>
    </row>
    <row r="27" spans="1:13" x14ac:dyDescent="0.25">
      <c r="A27" s="4" t="s">
        <v>24</v>
      </c>
      <c r="B27" s="4" t="s">
        <v>57</v>
      </c>
      <c r="C27" s="4" t="s">
        <v>3</v>
      </c>
      <c r="D27" s="4" t="s">
        <v>58</v>
      </c>
      <c r="E27" s="7">
        <v>0</v>
      </c>
      <c r="F27" s="7">
        <v>0.8</v>
      </c>
      <c r="G27" s="7">
        <f>F27*dropdown!G$4</f>
        <v>0.72000000000000008</v>
      </c>
      <c r="H27" s="7">
        <f>G27*dropdown!G$5</f>
        <v>0.64800000000000013</v>
      </c>
      <c r="I27" s="7">
        <v>0</v>
      </c>
      <c r="J27" s="8">
        <v>1</v>
      </c>
      <c r="K27" s="8">
        <v>0</v>
      </c>
      <c r="L27" s="8">
        <v>0</v>
      </c>
      <c r="M27" s="26">
        <f t="shared" si="3"/>
        <v>1</v>
      </c>
    </row>
    <row r="28" spans="1:13" x14ac:dyDescent="0.25">
      <c r="A28" s="4" t="s">
        <v>24</v>
      </c>
      <c r="B28" s="4" t="s">
        <v>57</v>
      </c>
      <c r="C28" s="4" t="s">
        <v>39</v>
      </c>
      <c r="D28" s="4" t="s">
        <v>58</v>
      </c>
      <c r="E28" s="7">
        <v>0</v>
      </c>
      <c r="F28" s="7">
        <v>0.8</v>
      </c>
      <c r="G28" s="7">
        <f>F28*dropdown!G$4</f>
        <v>0.72000000000000008</v>
      </c>
      <c r="H28" s="7">
        <f>G28*dropdown!G$5</f>
        <v>0.64800000000000013</v>
      </c>
      <c r="I28" s="7">
        <v>0</v>
      </c>
      <c r="J28" s="8">
        <v>1</v>
      </c>
      <c r="K28" s="8">
        <v>0</v>
      </c>
      <c r="L28" s="8">
        <v>0</v>
      </c>
      <c r="M28" s="26">
        <f t="shared" si="3"/>
        <v>1</v>
      </c>
    </row>
    <row r="29" spans="1:13" x14ac:dyDescent="0.25">
      <c r="A29" s="5" t="s">
        <v>24</v>
      </c>
      <c r="B29" s="5" t="s">
        <v>57</v>
      </c>
      <c r="C29" s="5" t="s">
        <v>41</v>
      </c>
      <c r="D29" s="5" t="s">
        <v>58</v>
      </c>
      <c r="E29" s="9">
        <v>0</v>
      </c>
      <c r="F29" s="9">
        <v>0.8</v>
      </c>
      <c r="G29" s="9">
        <f>F29*dropdown!G$4</f>
        <v>0.72000000000000008</v>
      </c>
      <c r="H29" s="9">
        <f>G29*dropdown!G$5</f>
        <v>0.64800000000000013</v>
      </c>
      <c r="I29" s="9">
        <v>0</v>
      </c>
      <c r="J29" s="10">
        <v>1</v>
      </c>
      <c r="K29" s="10">
        <v>0</v>
      </c>
      <c r="L29" s="10">
        <v>0</v>
      </c>
      <c r="M29" s="27">
        <f t="shared" si="3"/>
        <v>1</v>
      </c>
    </row>
    <row r="30" spans="1:13" x14ac:dyDescent="0.25">
      <c r="A30" s="4" t="s">
        <v>25</v>
      </c>
      <c r="B30" s="4" t="s">
        <v>57</v>
      </c>
      <c r="C30" s="4" t="s">
        <v>36</v>
      </c>
      <c r="D30" s="4" t="s">
        <v>58</v>
      </c>
      <c r="E30" s="7">
        <v>0</v>
      </c>
      <c r="F30" s="7">
        <v>0.8</v>
      </c>
      <c r="G30" s="7">
        <f>F30*dropdown!G$4</f>
        <v>0.72000000000000008</v>
      </c>
      <c r="H30" s="7">
        <f>G30*dropdown!G$5</f>
        <v>0.64800000000000013</v>
      </c>
      <c r="I30" s="7">
        <v>0</v>
      </c>
      <c r="J30" s="8">
        <v>1</v>
      </c>
      <c r="K30" s="8">
        <v>0</v>
      </c>
      <c r="L30" s="8">
        <v>0</v>
      </c>
      <c r="M30" s="26">
        <f t="shared" ref="M30:M33" si="4">SUM(I30:L30)</f>
        <v>1</v>
      </c>
    </row>
    <row r="31" spans="1:13" x14ac:dyDescent="0.25">
      <c r="A31" s="4" t="s">
        <v>25</v>
      </c>
      <c r="B31" s="4" t="s">
        <v>57</v>
      </c>
      <c r="C31" s="4" t="s">
        <v>3</v>
      </c>
      <c r="D31" s="4" t="s">
        <v>58</v>
      </c>
      <c r="E31" s="7">
        <v>0</v>
      </c>
      <c r="F31" s="7">
        <v>0.8</v>
      </c>
      <c r="G31" s="7">
        <f>F31*dropdown!G$4</f>
        <v>0.72000000000000008</v>
      </c>
      <c r="H31" s="7">
        <f>G31*dropdown!G$5</f>
        <v>0.64800000000000013</v>
      </c>
      <c r="I31" s="7">
        <v>0</v>
      </c>
      <c r="J31" s="8">
        <v>1</v>
      </c>
      <c r="K31" s="8">
        <v>0</v>
      </c>
      <c r="L31" s="8">
        <v>0</v>
      </c>
      <c r="M31" s="26">
        <f t="shared" si="4"/>
        <v>1</v>
      </c>
    </row>
    <row r="32" spans="1:13" x14ac:dyDescent="0.25">
      <c r="A32" s="4" t="s">
        <v>25</v>
      </c>
      <c r="B32" s="4" t="s">
        <v>57</v>
      </c>
      <c r="C32" s="4" t="s">
        <v>39</v>
      </c>
      <c r="D32" s="4" t="s">
        <v>58</v>
      </c>
      <c r="E32" s="7">
        <v>0</v>
      </c>
      <c r="F32" s="7">
        <v>0.8</v>
      </c>
      <c r="G32" s="7">
        <f>F32*dropdown!G$4</f>
        <v>0.72000000000000008</v>
      </c>
      <c r="H32" s="7">
        <f>G32*dropdown!G$5</f>
        <v>0.64800000000000013</v>
      </c>
      <c r="I32" s="7">
        <v>0</v>
      </c>
      <c r="J32" s="8">
        <v>1</v>
      </c>
      <c r="K32" s="8">
        <v>0</v>
      </c>
      <c r="L32" s="8">
        <v>0</v>
      </c>
      <c r="M32" s="26">
        <f t="shared" si="4"/>
        <v>1</v>
      </c>
    </row>
    <row r="33" spans="1:13" x14ac:dyDescent="0.25">
      <c r="A33" s="5" t="s">
        <v>25</v>
      </c>
      <c r="B33" s="5" t="s">
        <v>57</v>
      </c>
      <c r="C33" s="5" t="s">
        <v>41</v>
      </c>
      <c r="D33" s="5" t="s">
        <v>58</v>
      </c>
      <c r="E33" s="9">
        <v>0</v>
      </c>
      <c r="F33" s="9">
        <v>0.8</v>
      </c>
      <c r="G33" s="9">
        <f>F33*dropdown!G$4</f>
        <v>0.72000000000000008</v>
      </c>
      <c r="H33" s="9">
        <f>G33*dropdown!G$5</f>
        <v>0.64800000000000013</v>
      </c>
      <c r="I33" s="9">
        <v>0</v>
      </c>
      <c r="J33" s="10">
        <v>1</v>
      </c>
      <c r="K33" s="10">
        <v>0</v>
      </c>
      <c r="L33" s="10">
        <v>0</v>
      </c>
      <c r="M33" s="27">
        <f t="shared" si="4"/>
        <v>1</v>
      </c>
    </row>
    <row r="34" spans="1:13" x14ac:dyDescent="0.25">
      <c r="A34" s="4" t="s">
        <v>26</v>
      </c>
      <c r="B34" s="4" t="s">
        <v>57</v>
      </c>
      <c r="C34" s="4" t="s">
        <v>36</v>
      </c>
      <c r="D34" s="4" t="s">
        <v>58</v>
      </c>
      <c r="E34" s="7">
        <v>0</v>
      </c>
      <c r="F34" s="7">
        <v>0.8</v>
      </c>
      <c r="G34" s="7">
        <f>F34*dropdown!G$4</f>
        <v>0.72000000000000008</v>
      </c>
      <c r="H34" s="7">
        <f>G34*dropdown!G$5</f>
        <v>0.64800000000000013</v>
      </c>
      <c r="I34" s="7">
        <v>0</v>
      </c>
      <c r="J34" s="8">
        <v>1</v>
      </c>
      <c r="K34" s="8">
        <v>0</v>
      </c>
      <c r="L34" s="8">
        <v>0</v>
      </c>
      <c r="M34" s="26">
        <f t="shared" ref="M34:M37" si="5">SUM(I34:L34)</f>
        <v>1</v>
      </c>
    </row>
    <row r="35" spans="1:13" x14ac:dyDescent="0.25">
      <c r="A35" s="4" t="s">
        <v>26</v>
      </c>
      <c r="B35" s="4" t="s">
        <v>57</v>
      </c>
      <c r="C35" s="4" t="s">
        <v>3</v>
      </c>
      <c r="D35" s="4" t="s">
        <v>58</v>
      </c>
      <c r="E35" s="7">
        <v>0</v>
      </c>
      <c r="F35" s="7">
        <v>0.8</v>
      </c>
      <c r="G35" s="7">
        <f>F35*dropdown!G$4</f>
        <v>0.72000000000000008</v>
      </c>
      <c r="H35" s="7">
        <f>G35*dropdown!G$5</f>
        <v>0.64800000000000013</v>
      </c>
      <c r="I35" s="7">
        <v>0</v>
      </c>
      <c r="J35" s="8">
        <v>1</v>
      </c>
      <c r="K35" s="8">
        <v>0</v>
      </c>
      <c r="L35" s="8">
        <v>0</v>
      </c>
      <c r="M35" s="26">
        <f t="shared" si="5"/>
        <v>1</v>
      </c>
    </row>
    <row r="36" spans="1:13" x14ac:dyDescent="0.25">
      <c r="A36" s="4" t="s">
        <v>26</v>
      </c>
      <c r="B36" s="4" t="s">
        <v>57</v>
      </c>
      <c r="C36" s="4" t="s">
        <v>39</v>
      </c>
      <c r="D36" s="4" t="s">
        <v>58</v>
      </c>
      <c r="E36" s="7">
        <v>0</v>
      </c>
      <c r="F36" s="7">
        <v>0.8</v>
      </c>
      <c r="G36" s="7">
        <f>F36*dropdown!G$4</f>
        <v>0.72000000000000008</v>
      </c>
      <c r="H36" s="7">
        <f>G36*dropdown!G$5</f>
        <v>0.64800000000000013</v>
      </c>
      <c r="I36" s="7">
        <v>0</v>
      </c>
      <c r="J36" s="8">
        <v>1</v>
      </c>
      <c r="K36" s="8">
        <v>0</v>
      </c>
      <c r="L36" s="8">
        <v>0</v>
      </c>
      <c r="M36" s="26">
        <f t="shared" si="5"/>
        <v>1</v>
      </c>
    </row>
    <row r="37" spans="1:13" x14ac:dyDescent="0.25">
      <c r="A37" s="5" t="s">
        <v>26</v>
      </c>
      <c r="B37" s="5" t="s">
        <v>57</v>
      </c>
      <c r="C37" s="5" t="s">
        <v>41</v>
      </c>
      <c r="D37" s="5" t="s">
        <v>58</v>
      </c>
      <c r="E37" s="9">
        <v>0</v>
      </c>
      <c r="F37" s="9">
        <v>0.8</v>
      </c>
      <c r="G37" s="9">
        <f>F37*dropdown!G$4</f>
        <v>0.72000000000000008</v>
      </c>
      <c r="H37" s="9">
        <f>G37*dropdown!G$5</f>
        <v>0.64800000000000013</v>
      </c>
      <c r="I37" s="9">
        <v>0</v>
      </c>
      <c r="J37" s="10">
        <v>1</v>
      </c>
      <c r="K37" s="10">
        <v>0</v>
      </c>
      <c r="L37" s="10">
        <v>0</v>
      </c>
      <c r="M37" s="27">
        <f t="shared" si="5"/>
        <v>1</v>
      </c>
    </row>
    <row r="38" spans="1:13" x14ac:dyDescent="0.25">
      <c r="A38" s="4" t="s">
        <v>27</v>
      </c>
      <c r="B38" s="4" t="s">
        <v>57</v>
      </c>
      <c r="C38" s="4" t="s">
        <v>36</v>
      </c>
      <c r="D38" s="4" t="s">
        <v>58</v>
      </c>
      <c r="E38" s="7">
        <v>0</v>
      </c>
      <c r="F38" s="7">
        <v>0.8</v>
      </c>
      <c r="G38" s="7">
        <f>F38*dropdown!G$4</f>
        <v>0.72000000000000008</v>
      </c>
      <c r="H38" s="7">
        <f>G38*dropdown!G$5</f>
        <v>0.64800000000000013</v>
      </c>
      <c r="I38" s="7">
        <v>0</v>
      </c>
      <c r="J38" s="8">
        <v>1</v>
      </c>
      <c r="K38" s="8">
        <v>0</v>
      </c>
      <c r="L38" s="8">
        <v>0</v>
      </c>
      <c r="M38" s="26">
        <f t="shared" ref="M38:M41" si="6">SUM(I38:L38)</f>
        <v>1</v>
      </c>
    </row>
    <row r="39" spans="1:13" x14ac:dyDescent="0.25">
      <c r="A39" s="4" t="s">
        <v>27</v>
      </c>
      <c r="B39" s="4" t="s">
        <v>57</v>
      </c>
      <c r="C39" s="4" t="s">
        <v>3</v>
      </c>
      <c r="D39" s="4" t="s">
        <v>58</v>
      </c>
      <c r="E39" s="7">
        <v>0</v>
      </c>
      <c r="F39" s="7">
        <v>0.8</v>
      </c>
      <c r="G39" s="7">
        <f>F39*dropdown!G$4</f>
        <v>0.72000000000000008</v>
      </c>
      <c r="H39" s="7">
        <f>G39*dropdown!G$5</f>
        <v>0.64800000000000013</v>
      </c>
      <c r="I39" s="7">
        <v>0</v>
      </c>
      <c r="J39" s="8">
        <v>1</v>
      </c>
      <c r="K39" s="8">
        <v>0</v>
      </c>
      <c r="L39" s="8">
        <v>0</v>
      </c>
      <c r="M39" s="26">
        <f t="shared" si="6"/>
        <v>1</v>
      </c>
    </row>
    <row r="40" spans="1:13" x14ac:dyDescent="0.25">
      <c r="A40" s="4" t="s">
        <v>27</v>
      </c>
      <c r="B40" s="4" t="s">
        <v>57</v>
      </c>
      <c r="C40" s="4" t="s">
        <v>39</v>
      </c>
      <c r="D40" s="4" t="s">
        <v>58</v>
      </c>
      <c r="E40" s="7">
        <v>0</v>
      </c>
      <c r="F40" s="7">
        <v>0.8</v>
      </c>
      <c r="G40" s="7">
        <f>F40*dropdown!G$4</f>
        <v>0.72000000000000008</v>
      </c>
      <c r="H40" s="7">
        <f>G40*dropdown!G$5</f>
        <v>0.64800000000000013</v>
      </c>
      <c r="I40" s="7">
        <v>0</v>
      </c>
      <c r="J40" s="8">
        <v>1</v>
      </c>
      <c r="K40" s="8">
        <v>0</v>
      </c>
      <c r="L40" s="8">
        <v>0</v>
      </c>
      <c r="M40" s="26">
        <f t="shared" si="6"/>
        <v>1</v>
      </c>
    </row>
    <row r="41" spans="1:13" x14ac:dyDescent="0.25">
      <c r="A41" s="5" t="s">
        <v>27</v>
      </c>
      <c r="B41" s="5" t="s">
        <v>57</v>
      </c>
      <c r="C41" s="5" t="s">
        <v>41</v>
      </c>
      <c r="D41" s="5" t="s">
        <v>58</v>
      </c>
      <c r="E41" s="9">
        <v>0</v>
      </c>
      <c r="F41" s="9">
        <v>0.8</v>
      </c>
      <c r="G41" s="9">
        <f>F41*dropdown!G$4</f>
        <v>0.72000000000000008</v>
      </c>
      <c r="H41" s="9">
        <f>G41*dropdown!G$5</f>
        <v>0.64800000000000013</v>
      </c>
      <c r="I41" s="9">
        <v>0</v>
      </c>
      <c r="J41" s="10">
        <v>1</v>
      </c>
      <c r="K41" s="10">
        <v>0</v>
      </c>
      <c r="L41" s="10">
        <v>0</v>
      </c>
      <c r="M41" s="27">
        <f t="shared" si="6"/>
        <v>1</v>
      </c>
    </row>
    <row r="42" spans="1:13" x14ac:dyDescent="0.25">
      <c r="A42" s="4" t="s">
        <v>28</v>
      </c>
      <c r="B42" s="4" t="s">
        <v>57</v>
      </c>
      <c r="C42" s="4" t="s">
        <v>36</v>
      </c>
      <c r="D42" s="4" t="s">
        <v>58</v>
      </c>
      <c r="E42" s="7">
        <v>0</v>
      </c>
      <c r="F42" s="7">
        <v>0.8</v>
      </c>
      <c r="G42" s="7">
        <f>F42*dropdown!G$4</f>
        <v>0.72000000000000008</v>
      </c>
      <c r="H42" s="7">
        <f>G42*dropdown!G$5</f>
        <v>0.64800000000000013</v>
      </c>
      <c r="I42" s="7">
        <v>0</v>
      </c>
      <c r="J42" s="8">
        <v>1</v>
      </c>
      <c r="K42" s="8">
        <v>0</v>
      </c>
      <c r="L42" s="8">
        <v>0</v>
      </c>
      <c r="M42" s="26">
        <f t="shared" ref="M42:M49" si="7">SUM(I42:L42)</f>
        <v>1</v>
      </c>
    </row>
    <row r="43" spans="1:13" x14ac:dyDescent="0.25">
      <c r="A43" s="4" t="s">
        <v>28</v>
      </c>
      <c r="B43" s="4" t="s">
        <v>57</v>
      </c>
      <c r="C43" s="4" t="s">
        <v>3</v>
      </c>
      <c r="D43" s="4" t="s">
        <v>58</v>
      </c>
      <c r="E43" s="7">
        <v>0</v>
      </c>
      <c r="F43" s="7">
        <v>0.8</v>
      </c>
      <c r="G43" s="7">
        <f>F43*dropdown!G$4</f>
        <v>0.72000000000000008</v>
      </c>
      <c r="H43" s="7">
        <f>G43*dropdown!G$5</f>
        <v>0.64800000000000013</v>
      </c>
      <c r="I43" s="7">
        <v>0</v>
      </c>
      <c r="J43" s="8">
        <v>1</v>
      </c>
      <c r="K43" s="8">
        <v>0</v>
      </c>
      <c r="L43" s="8">
        <v>0</v>
      </c>
      <c r="M43" s="26">
        <f t="shared" si="7"/>
        <v>1</v>
      </c>
    </row>
    <row r="44" spans="1:13" x14ac:dyDescent="0.25">
      <c r="A44" s="4" t="s">
        <v>28</v>
      </c>
      <c r="B44" s="4" t="s">
        <v>57</v>
      </c>
      <c r="C44" s="4" t="s">
        <v>39</v>
      </c>
      <c r="D44" s="4" t="s">
        <v>58</v>
      </c>
      <c r="E44" s="7">
        <v>0</v>
      </c>
      <c r="F44" s="7">
        <v>0.8</v>
      </c>
      <c r="G44" s="7">
        <f>F44*dropdown!G$4</f>
        <v>0.72000000000000008</v>
      </c>
      <c r="H44" s="7">
        <f>G44*dropdown!G$5</f>
        <v>0.64800000000000013</v>
      </c>
      <c r="I44" s="7">
        <v>0</v>
      </c>
      <c r="J44" s="8">
        <v>1</v>
      </c>
      <c r="K44" s="8">
        <v>0</v>
      </c>
      <c r="L44" s="8">
        <v>0</v>
      </c>
      <c r="M44" s="26">
        <f t="shared" si="7"/>
        <v>1</v>
      </c>
    </row>
    <row r="45" spans="1:13" x14ac:dyDescent="0.25">
      <c r="A45" s="5" t="s">
        <v>28</v>
      </c>
      <c r="B45" s="5" t="s">
        <v>57</v>
      </c>
      <c r="C45" s="5" t="s">
        <v>41</v>
      </c>
      <c r="D45" s="5" t="s">
        <v>58</v>
      </c>
      <c r="E45" s="9">
        <v>0</v>
      </c>
      <c r="F45" s="9">
        <v>0.8</v>
      </c>
      <c r="G45" s="9">
        <f>F45*dropdown!G$4</f>
        <v>0.72000000000000008</v>
      </c>
      <c r="H45" s="9">
        <f>G45*dropdown!G$5</f>
        <v>0.64800000000000013</v>
      </c>
      <c r="I45" s="9">
        <v>0</v>
      </c>
      <c r="J45" s="10">
        <v>1</v>
      </c>
      <c r="K45" s="10">
        <v>0</v>
      </c>
      <c r="L45" s="10">
        <v>0</v>
      </c>
      <c r="M45" s="27">
        <f t="shared" si="7"/>
        <v>1</v>
      </c>
    </row>
    <row r="46" spans="1:13" x14ac:dyDescent="0.25">
      <c r="A46" s="4" t="s">
        <v>29</v>
      </c>
      <c r="B46" s="4" t="s">
        <v>57</v>
      </c>
      <c r="C46" s="4" t="s">
        <v>36</v>
      </c>
      <c r="D46" s="4" t="s">
        <v>58</v>
      </c>
      <c r="E46" s="7">
        <v>0</v>
      </c>
      <c r="F46" s="7">
        <f>dropdown!G$3</f>
        <v>0.8</v>
      </c>
      <c r="G46" s="7">
        <f>F46*dropdown!G$4</f>
        <v>0.72000000000000008</v>
      </c>
      <c r="H46" s="7">
        <f>G46*dropdown!G$5</f>
        <v>0.64800000000000013</v>
      </c>
      <c r="I46" s="7">
        <v>0</v>
      </c>
      <c r="J46" s="8">
        <v>0.74559310000000001</v>
      </c>
      <c r="K46" s="8">
        <v>0.1587829</v>
      </c>
      <c r="L46" s="8">
        <v>9.5623999999999931E-2</v>
      </c>
      <c r="M46" s="30">
        <f t="shared" si="7"/>
        <v>1</v>
      </c>
    </row>
    <row r="47" spans="1:13" x14ac:dyDescent="0.25">
      <c r="A47" s="4" t="s">
        <v>29</v>
      </c>
      <c r="B47" s="4" t="s">
        <v>57</v>
      </c>
      <c r="C47" s="4" t="s">
        <v>3</v>
      </c>
      <c r="D47" s="4" t="s">
        <v>58</v>
      </c>
      <c r="E47" s="7">
        <v>0</v>
      </c>
      <c r="F47" s="7">
        <f>dropdown!G$3</f>
        <v>0.8</v>
      </c>
      <c r="G47" s="7">
        <f>F47*dropdown!G$4</f>
        <v>0.72000000000000008</v>
      </c>
      <c r="H47" s="7">
        <f>G47*dropdown!G$5</f>
        <v>0.64800000000000013</v>
      </c>
      <c r="I47" s="7">
        <v>0</v>
      </c>
      <c r="J47" s="7">
        <v>0.59647448000000003</v>
      </c>
      <c r="K47" s="7">
        <v>0.25185225829019581</v>
      </c>
      <c r="L47" s="8">
        <v>0.15167326170980422</v>
      </c>
      <c r="M47" s="30">
        <f t="shared" si="7"/>
        <v>1</v>
      </c>
    </row>
    <row r="48" spans="1:13" x14ac:dyDescent="0.25">
      <c r="A48" s="4" t="s">
        <v>29</v>
      </c>
      <c r="B48" s="4" t="s">
        <v>57</v>
      </c>
      <c r="C48" s="4" t="s">
        <v>39</v>
      </c>
      <c r="D48" s="4" t="s">
        <v>58</v>
      </c>
      <c r="E48" s="7">
        <v>0</v>
      </c>
      <c r="F48" s="7">
        <f>dropdown!G$3</f>
        <v>0.8</v>
      </c>
      <c r="G48" s="7">
        <f>F48*dropdown!G$4</f>
        <v>0.72000000000000008</v>
      </c>
      <c r="H48" s="7">
        <f>G48*dropdown!G$5</f>
        <v>0.64800000000000013</v>
      </c>
      <c r="I48" s="7">
        <v>0</v>
      </c>
      <c r="J48" s="7">
        <v>0.35788468800000001</v>
      </c>
      <c r="K48" s="7">
        <v>0.40076323155450899</v>
      </c>
      <c r="L48" s="8">
        <v>0.24135208044549095</v>
      </c>
      <c r="M48" s="30">
        <f t="shared" si="7"/>
        <v>1</v>
      </c>
    </row>
    <row r="49" spans="1:13" x14ac:dyDescent="0.25">
      <c r="A49" s="5" t="s">
        <v>29</v>
      </c>
      <c r="B49" s="5" t="s">
        <v>57</v>
      </c>
      <c r="C49" s="5" t="s">
        <v>41</v>
      </c>
      <c r="D49" s="5" t="s">
        <v>58</v>
      </c>
      <c r="E49" s="9">
        <v>0</v>
      </c>
      <c r="F49" s="9">
        <f>dropdown!G$3</f>
        <v>0.8</v>
      </c>
      <c r="G49" s="9">
        <f>F49*dropdown!G$4</f>
        <v>0.72000000000000008</v>
      </c>
      <c r="H49" s="9">
        <f>G49*dropdown!G$5</f>
        <v>0.64800000000000013</v>
      </c>
      <c r="I49" s="9">
        <v>0</v>
      </c>
      <c r="J49" s="9">
        <v>3.5788468800000001E-2</v>
      </c>
      <c r="K49" s="9">
        <v>0.60179304546133194</v>
      </c>
      <c r="L49" s="10">
        <v>0.36241848573866808</v>
      </c>
      <c r="M49" s="31">
        <f t="shared" si="7"/>
        <v>1</v>
      </c>
    </row>
    <row r="50" spans="1:13" x14ac:dyDescent="0.25">
      <c r="A50" s="4" t="s">
        <v>30</v>
      </c>
      <c r="B50" s="4" t="s">
        <v>57</v>
      </c>
      <c r="C50" s="4" t="s">
        <v>36</v>
      </c>
      <c r="D50" s="4" t="s">
        <v>58</v>
      </c>
      <c r="E50" s="7">
        <v>0</v>
      </c>
      <c r="F50" s="7">
        <v>0.8</v>
      </c>
      <c r="G50" s="7">
        <f>F50*dropdown!G$4</f>
        <v>0.72000000000000008</v>
      </c>
      <c r="H50" s="7">
        <f>G50*dropdown!G$5</f>
        <v>0.64800000000000013</v>
      </c>
      <c r="I50" s="7">
        <v>0</v>
      </c>
      <c r="J50" s="8">
        <v>1</v>
      </c>
      <c r="K50" s="8">
        <v>0</v>
      </c>
      <c r="L50" s="8">
        <v>0</v>
      </c>
      <c r="M50" s="26">
        <f t="shared" ref="M50:M53" si="8">SUM(I50:L50)</f>
        <v>1</v>
      </c>
    </row>
    <row r="51" spans="1:13" x14ac:dyDescent="0.25">
      <c r="A51" s="4" t="s">
        <v>30</v>
      </c>
      <c r="B51" s="4" t="s">
        <v>57</v>
      </c>
      <c r="C51" s="4" t="s">
        <v>3</v>
      </c>
      <c r="D51" s="4" t="s">
        <v>58</v>
      </c>
      <c r="E51" s="7">
        <v>0</v>
      </c>
      <c r="F51" s="7">
        <v>0.8</v>
      </c>
      <c r="G51" s="7">
        <f>F51*dropdown!G$4</f>
        <v>0.72000000000000008</v>
      </c>
      <c r="H51" s="7">
        <f>G51*dropdown!G$5</f>
        <v>0.64800000000000013</v>
      </c>
      <c r="I51" s="7">
        <v>0</v>
      </c>
      <c r="J51" s="8">
        <v>1</v>
      </c>
      <c r="K51" s="8">
        <v>0</v>
      </c>
      <c r="L51" s="8">
        <v>0</v>
      </c>
      <c r="M51" s="26">
        <f t="shared" si="8"/>
        <v>1</v>
      </c>
    </row>
    <row r="52" spans="1:13" x14ac:dyDescent="0.25">
      <c r="A52" s="4" t="s">
        <v>30</v>
      </c>
      <c r="B52" s="4" t="s">
        <v>57</v>
      </c>
      <c r="C52" s="4" t="s">
        <v>39</v>
      </c>
      <c r="D52" s="4" t="s">
        <v>58</v>
      </c>
      <c r="E52" s="7">
        <v>0</v>
      </c>
      <c r="F52" s="7">
        <v>0.8</v>
      </c>
      <c r="G52" s="7">
        <f>F52*dropdown!G$4</f>
        <v>0.72000000000000008</v>
      </c>
      <c r="H52" s="7">
        <f>G52*dropdown!G$5</f>
        <v>0.64800000000000013</v>
      </c>
      <c r="I52" s="7">
        <v>0</v>
      </c>
      <c r="J52" s="8">
        <v>1</v>
      </c>
      <c r="K52" s="8">
        <v>0</v>
      </c>
      <c r="L52" s="8">
        <v>0</v>
      </c>
      <c r="M52" s="26">
        <f t="shared" si="8"/>
        <v>1</v>
      </c>
    </row>
    <row r="53" spans="1:13" x14ac:dyDescent="0.25">
      <c r="A53" s="5" t="s">
        <v>30</v>
      </c>
      <c r="B53" s="5" t="s">
        <v>57</v>
      </c>
      <c r="C53" s="5" t="s">
        <v>41</v>
      </c>
      <c r="D53" s="5" t="s">
        <v>58</v>
      </c>
      <c r="E53" s="9">
        <v>0</v>
      </c>
      <c r="F53" s="9">
        <v>0.8</v>
      </c>
      <c r="G53" s="9">
        <f>F53*dropdown!G$4</f>
        <v>0.72000000000000008</v>
      </c>
      <c r="H53" s="9">
        <f>G53*dropdown!G$5</f>
        <v>0.64800000000000013</v>
      </c>
      <c r="I53" s="9">
        <v>0</v>
      </c>
      <c r="J53" s="10">
        <v>1</v>
      </c>
      <c r="K53" s="10">
        <v>0</v>
      </c>
      <c r="L53" s="10">
        <v>0</v>
      </c>
      <c r="M53" s="27">
        <f t="shared" si="8"/>
        <v>1</v>
      </c>
    </row>
    <row r="54" spans="1:13" x14ac:dyDescent="0.25">
      <c r="A54" s="4" t="s">
        <v>31</v>
      </c>
      <c r="B54" s="4" t="s">
        <v>57</v>
      </c>
      <c r="C54" s="4" t="s">
        <v>36</v>
      </c>
      <c r="D54" s="4" t="s">
        <v>58</v>
      </c>
      <c r="E54" s="7">
        <v>0</v>
      </c>
      <c r="F54" s="7">
        <v>0.8</v>
      </c>
      <c r="G54" s="7">
        <f>F54*dropdown!G$4</f>
        <v>0.72000000000000008</v>
      </c>
      <c r="H54" s="7">
        <f>G54*dropdown!G$5</f>
        <v>0.64800000000000013</v>
      </c>
      <c r="I54" s="7">
        <v>0</v>
      </c>
      <c r="J54" s="8">
        <v>1</v>
      </c>
      <c r="K54" s="8">
        <v>0</v>
      </c>
      <c r="L54" s="8">
        <v>0</v>
      </c>
      <c r="M54" s="26">
        <f t="shared" ref="M54:M57" si="9">SUM(I54:L54)</f>
        <v>1</v>
      </c>
    </row>
    <row r="55" spans="1:13" x14ac:dyDescent="0.25">
      <c r="A55" s="4" t="s">
        <v>31</v>
      </c>
      <c r="B55" s="4" t="s">
        <v>57</v>
      </c>
      <c r="C55" s="4" t="s">
        <v>3</v>
      </c>
      <c r="D55" s="4" t="s">
        <v>58</v>
      </c>
      <c r="E55" s="7">
        <v>0</v>
      </c>
      <c r="F55" s="7">
        <v>0.8</v>
      </c>
      <c r="G55" s="7">
        <f>F55*dropdown!G$4</f>
        <v>0.72000000000000008</v>
      </c>
      <c r="H55" s="7">
        <f>G55*dropdown!G$5</f>
        <v>0.64800000000000013</v>
      </c>
      <c r="I55" s="7">
        <v>0</v>
      </c>
      <c r="J55" s="8">
        <v>1</v>
      </c>
      <c r="K55" s="8">
        <v>0</v>
      </c>
      <c r="L55" s="8">
        <v>0</v>
      </c>
      <c r="M55" s="26">
        <f t="shared" si="9"/>
        <v>1</v>
      </c>
    </row>
    <row r="56" spans="1:13" x14ac:dyDescent="0.25">
      <c r="A56" s="4" t="s">
        <v>31</v>
      </c>
      <c r="B56" s="4" t="s">
        <v>57</v>
      </c>
      <c r="C56" s="4" t="s">
        <v>39</v>
      </c>
      <c r="D56" s="4" t="s">
        <v>58</v>
      </c>
      <c r="E56" s="7">
        <v>0</v>
      </c>
      <c r="F56" s="7">
        <v>0.8</v>
      </c>
      <c r="G56" s="7">
        <f>F56*dropdown!G$4</f>
        <v>0.72000000000000008</v>
      </c>
      <c r="H56" s="7">
        <f>G56*dropdown!G$5</f>
        <v>0.64800000000000013</v>
      </c>
      <c r="I56" s="7">
        <v>0</v>
      </c>
      <c r="J56" s="8">
        <v>1</v>
      </c>
      <c r="K56" s="8">
        <v>0</v>
      </c>
      <c r="L56" s="8">
        <v>0</v>
      </c>
      <c r="M56" s="26">
        <f t="shared" si="9"/>
        <v>1</v>
      </c>
    </row>
    <row r="57" spans="1:13" x14ac:dyDescent="0.25">
      <c r="A57" s="5" t="s">
        <v>31</v>
      </c>
      <c r="B57" s="5" t="s">
        <v>57</v>
      </c>
      <c r="C57" s="5" t="s">
        <v>41</v>
      </c>
      <c r="D57" s="5" t="s">
        <v>58</v>
      </c>
      <c r="E57" s="9">
        <v>0</v>
      </c>
      <c r="F57" s="9">
        <v>0.8</v>
      </c>
      <c r="G57" s="9">
        <f>F57*dropdown!G$4</f>
        <v>0.72000000000000008</v>
      </c>
      <c r="H57" s="9">
        <f>G57*dropdown!G$5</f>
        <v>0.64800000000000013</v>
      </c>
      <c r="I57" s="9">
        <v>0</v>
      </c>
      <c r="J57" s="10">
        <v>1</v>
      </c>
      <c r="K57" s="10">
        <v>0</v>
      </c>
      <c r="L57" s="10">
        <v>0</v>
      </c>
      <c r="M57" s="27">
        <f t="shared" si="9"/>
        <v>1</v>
      </c>
    </row>
    <row r="58" spans="1:13" x14ac:dyDescent="0.25">
      <c r="A58" s="4" t="s">
        <v>32</v>
      </c>
      <c r="B58" s="4" t="s">
        <v>57</v>
      </c>
      <c r="C58" s="4" t="s">
        <v>36</v>
      </c>
      <c r="D58" s="4" t="s">
        <v>58</v>
      </c>
      <c r="E58" s="7">
        <v>0</v>
      </c>
      <c r="F58" s="7">
        <f>dropdown!G$3</f>
        <v>0.8</v>
      </c>
      <c r="G58" s="7">
        <f>F58*dropdown!G$4</f>
        <v>0.72000000000000008</v>
      </c>
      <c r="H58" s="7">
        <f>G58*dropdown!G$5</f>
        <v>0.64800000000000013</v>
      </c>
      <c r="I58" s="7">
        <v>0</v>
      </c>
      <c r="J58" s="8">
        <v>0.26710149999999999</v>
      </c>
      <c r="K58" s="8">
        <v>0.21189949999999999</v>
      </c>
      <c r="L58" s="8">
        <v>0.52099905000000002</v>
      </c>
    </row>
    <row r="59" spans="1:13" x14ac:dyDescent="0.25">
      <c r="A59" s="4" t="s">
        <v>32</v>
      </c>
      <c r="B59" s="4" t="s">
        <v>57</v>
      </c>
      <c r="C59" s="4" t="s">
        <v>3</v>
      </c>
      <c r="D59" s="4" t="s">
        <v>58</v>
      </c>
      <c r="E59" s="7">
        <v>0</v>
      </c>
      <c r="F59" s="7">
        <f>dropdown!G$3</f>
        <v>0.8</v>
      </c>
      <c r="G59" s="7">
        <f>F59*dropdown!G$4</f>
        <v>0.72000000000000008</v>
      </c>
      <c r="H59" s="7">
        <f>G59*dropdown!G$5</f>
        <v>0.64800000000000013</v>
      </c>
      <c r="I59" s="7">
        <v>0</v>
      </c>
      <c r="J59" s="7">
        <v>0.2</v>
      </c>
      <c r="K59" s="7">
        <v>0.2</v>
      </c>
      <c r="L59" s="7">
        <v>0.6</v>
      </c>
    </row>
    <row r="60" spans="1:13" x14ac:dyDescent="0.25">
      <c r="A60" s="4" t="s">
        <v>32</v>
      </c>
      <c r="B60" s="4" t="s">
        <v>57</v>
      </c>
      <c r="C60" s="4" t="s">
        <v>39</v>
      </c>
      <c r="D60" s="4" t="s">
        <v>58</v>
      </c>
      <c r="E60" s="7">
        <v>0</v>
      </c>
      <c r="F60" s="7">
        <f>dropdown!G$3</f>
        <v>0.8</v>
      </c>
      <c r="G60" s="7">
        <f>F60*dropdown!G$4</f>
        <v>0.72000000000000008</v>
      </c>
      <c r="H60" s="7">
        <f>G60*dropdown!G$5</f>
        <v>0.64800000000000013</v>
      </c>
      <c r="I60" s="7">
        <v>0</v>
      </c>
      <c r="J60" s="7">
        <v>0.15</v>
      </c>
      <c r="K60" s="7">
        <v>0.15</v>
      </c>
      <c r="L60" s="7">
        <v>0.7</v>
      </c>
    </row>
    <row r="61" spans="1:13" x14ac:dyDescent="0.25">
      <c r="A61" s="5" t="s">
        <v>32</v>
      </c>
      <c r="B61" s="5" t="s">
        <v>57</v>
      </c>
      <c r="C61" s="5" t="s">
        <v>41</v>
      </c>
      <c r="D61" s="5" t="s">
        <v>58</v>
      </c>
      <c r="E61" s="9">
        <v>0</v>
      </c>
      <c r="F61" s="9">
        <f>dropdown!G$3</f>
        <v>0.8</v>
      </c>
      <c r="G61" s="9">
        <f>F61*dropdown!G$4</f>
        <v>0.72000000000000008</v>
      </c>
      <c r="H61" s="9">
        <f>G61*dropdown!G$5</f>
        <v>0.64800000000000013</v>
      </c>
      <c r="I61" s="9">
        <v>0</v>
      </c>
      <c r="J61" s="9">
        <v>0.05</v>
      </c>
      <c r="K61" s="9">
        <v>0.15</v>
      </c>
      <c r="L61" s="9">
        <v>0.8</v>
      </c>
      <c r="M61" s="29"/>
    </row>
    <row r="62" spans="1:13" x14ac:dyDescent="0.25">
      <c r="A62" s="4" t="s">
        <v>33</v>
      </c>
      <c r="B62" s="4" t="s">
        <v>57</v>
      </c>
      <c r="C62" s="4" t="s">
        <v>36</v>
      </c>
      <c r="D62" s="4" t="s">
        <v>58</v>
      </c>
      <c r="E62" s="7">
        <v>0</v>
      </c>
      <c r="F62" s="7">
        <v>0.8</v>
      </c>
      <c r="G62" s="7">
        <f>F62*dropdown!G$4</f>
        <v>0.72000000000000008</v>
      </c>
      <c r="H62" s="7">
        <f>G62*dropdown!G$5</f>
        <v>0.64800000000000013</v>
      </c>
      <c r="I62" s="7">
        <v>0</v>
      </c>
      <c r="J62" s="8">
        <v>1</v>
      </c>
      <c r="K62" s="8">
        <v>0</v>
      </c>
      <c r="L62" s="8">
        <v>0</v>
      </c>
      <c r="M62" s="26">
        <f t="shared" ref="M62:M65" si="10">SUM(I62:L62)</f>
        <v>1</v>
      </c>
    </row>
    <row r="63" spans="1:13" x14ac:dyDescent="0.25">
      <c r="A63" s="4" t="s">
        <v>33</v>
      </c>
      <c r="B63" s="4" t="s">
        <v>57</v>
      </c>
      <c r="C63" s="4" t="s">
        <v>3</v>
      </c>
      <c r="D63" s="4" t="s">
        <v>58</v>
      </c>
      <c r="E63" s="7">
        <v>0</v>
      </c>
      <c r="F63" s="7">
        <v>0.8</v>
      </c>
      <c r="G63" s="7">
        <f>F63*dropdown!G$4</f>
        <v>0.72000000000000008</v>
      </c>
      <c r="H63" s="7">
        <f>G63*dropdown!G$5</f>
        <v>0.64800000000000013</v>
      </c>
      <c r="I63" s="7">
        <v>0</v>
      </c>
      <c r="J63" s="8">
        <v>1</v>
      </c>
      <c r="K63" s="8">
        <v>0</v>
      </c>
      <c r="L63" s="8">
        <v>0</v>
      </c>
      <c r="M63" s="26">
        <f t="shared" si="10"/>
        <v>1</v>
      </c>
    </row>
    <row r="64" spans="1:13" x14ac:dyDescent="0.25">
      <c r="A64" s="4" t="s">
        <v>33</v>
      </c>
      <c r="B64" s="4" t="s">
        <v>57</v>
      </c>
      <c r="C64" s="4" t="s">
        <v>39</v>
      </c>
      <c r="D64" s="4" t="s">
        <v>58</v>
      </c>
      <c r="E64" s="7">
        <v>0</v>
      </c>
      <c r="F64" s="7">
        <v>0.8</v>
      </c>
      <c r="G64" s="7">
        <f>F64*dropdown!G$4</f>
        <v>0.72000000000000008</v>
      </c>
      <c r="H64" s="7">
        <f>G64*dropdown!G$5</f>
        <v>0.64800000000000013</v>
      </c>
      <c r="I64" s="7">
        <v>0</v>
      </c>
      <c r="J64" s="8">
        <v>1</v>
      </c>
      <c r="K64" s="8">
        <v>0</v>
      </c>
      <c r="L64" s="8">
        <v>0</v>
      </c>
      <c r="M64" s="26">
        <f t="shared" si="10"/>
        <v>1</v>
      </c>
    </row>
    <row r="65" spans="1:13" x14ac:dyDescent="0.25">
      <c r="A65" s="5" t="s">
        <v>33</v>
      </c>
      <c r="B65" s="5" t="s">
        <v>57</v>
      </c>
      <c r="C65" s="5" t="s">
        <v>41</v>
      </c>
      <c r="D65" s="5" t="s">
        <v>58</v>
      </c>
      <c r="E65" s="9">
        <v>0</v>
      </c>
      <c r="F65" s="9">
        <v>0.8</v>
      </c>
      <c r="G65" s="9">
        <f>F65*dropdown!G$4</f>
        <v>0.72000000000000008</v>
      </c>
      <c r="H65" s="9">
        <f>G65*dropdown!G$5</f>
        <v>0.64800000000000013</v>
      </c>
      <c r="I65" s="9">
        <v>0</v>
      </c>
      <c r="J65" s="10">
        <v>1</v>
      </c>
      <c r="K65" s="10">
        <v>0</v>
      </c>
      <c r="L65" s="10">
        <v>0</v>
      </c>
      <c r="M65" s="27">
        <f t="shared" si="10"/>
        <v>1</v>
      </c>
    </row>
  </sheetData>
  <sheetProtection algorithmName="SHA-512" hashValue="Q0893s//CTcyVBh/UogcKOiPRpzSo/Ewp09lQn6io3SgQgod9fIYI3OliY4IEj4RsHCDenMwcbmc1ZV9RW9BnA==" saltValue="wUOcMMtVHRGysHnPwmSi3g==" spinCount="100000" sheet="1" objects="1" scenarios="1"/>
  <autoFilter ref="A1:M65" xr:uid="{82753148-32FB-444C-BF27-D6F44566E302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ui</vt:lpstr>
      <vt:lpstr>RR</vt:lpstr>
      <vt:lpstr>stg_dist</vt:lpstr>
      <vt:lpstr>all_inputs</vt:lpstr>
      <vt:lpstr>dropdown</vt:lpstr>
      <vt:lpstr>begin</vt:lpstr>
      <vt:lpstr>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Albirair</dc:creator>
  <cp:lastModifiedBy>Mohamed Albirair</cp:lastModifiedBy>
  <dcterms:created xsi:type="dcterms:W3CDTF">2024-10-03T19:45:36Z</dcterms:created>
  <dcterms:modified xsi:type="dcterms:W3CDTF">2026-02-27T05:29:45Z</dcterms:modified>
</cp:coreProperties>
</file>